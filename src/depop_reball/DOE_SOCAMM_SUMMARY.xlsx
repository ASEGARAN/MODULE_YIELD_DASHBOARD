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/>
  <mc:AlternateContent xmlns:mc="http://schemas.openxmlformats.org/markup-compatibility/2006">
    <mc:Choice Requires="x15">
      <x15ac:absPath xmlns:x15ac="http://schemas.microsoft.com/office/spreadsheetml/2010/11/ac" url="C:\Users\vasokkumar\Desktop\"/>
    </mc:Choice>
  </mc:AlternateContent>
  <xr:revisionPtr revIDLastSave="6" documentId="8_{0C7FC45A-7DE1-4002-95AC-3DC2422CCAB6}" xr6:coauthVersionLast="47" xr6:coauthVersionMax="47" xr10:uidLastSave="{BA7F718F-992D-4BC1-8F50-DE7F1926CCC3}"/>
  <bookViews>
    <workbookView xWindow="-120" yWindow="-120" windowWidth="29040" windowHeight="17520" activeTab="7" xr2:uid="{00000000-000D-0000-FFFF-FFFF00000000}"/>
  </bookViews>
  <sheets>
    <sheet name="DOE Status" sheetId="1" r:id="rId1"/>
    <sheet name="Summary_SM3.5" sheetId="2" r:id="rId2"/>
    <sheet name="Calc_SM3.5" sheetId="3" r:id="rId3"/>
    <sheet name="SM3.5 Insights" sheetId="9" state="hidden" r:id="rId4"/>
    <sheet name="Python Insights" sheetId="11" state="hidden" r:id="rId5"/>
    <sheet name="DOE Pivot &amp; Charts" sheetId="12" state="hidden" r:id="rId6"/>
    <sheet name="Sheet1" sheetId="10" r:id="rId7"/>
    <sheet name="Sheet1 Insights" sheetId="1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18" l="1"/>
  <c r="N47" i="18"/>
  <c r="N48" i="18"/>
  <c r="N45" i="18"/>
  <c r="M46" i="18"/>
  <c r="M47" i="18"/>
  <c r="M48" i="18"/>
  <c r="M45" i="18"/>
  <c r="B61" i="18"/>
  <c r="B62" i="18"/>
  <c r="F62" i="18" s="1"/>
  <c r="F61" i="18"/>
  <c r="F60" i="18"/>
  <c r="F59" i="18"/>
  <c r="F58" i="18"/>
  <c r="E62" i="18"/>
  <c r="D62" i="18"/>
  <c r="C62" i="18"/>
  <c r="E61" i="18"/>
  <c r="D61" i="18"/>
  <c r="C61" i="18"/>
  <c r="E60" i="18"/>
  <c r="D60" i="18"/>
  <c r="C60" i="18"/>
  <c r="B60" i="18"/>
  <c r="E59" i="18"/>
  <c r="D59" i="18"/>
  <c r="C59" i="18"/>
  <c r="B59" i="18"/>
  <c r="E58" i="18"/>
  <c r="D58" i="18"/>
  <c r="C58" i="18"/>
  <c r="B58" i="18"/>
  <c r="F26" i="18"/>
  <c r="F25" i="18"/>
  <c r="F24" i="18"/>
  <c r="F23" i="18"/>
  <c r="F22" i="18"/>
  <c r="F18" i="18"/>
  <c r="F17" i="18"/>
  <c r="F16" i="18"/>
  <c r="F15" i="18"/>
  <c r="F14" i="18"/>
  <c r="C10" i="18"/>
  <c r="C9" i="18"/>
  <c r="C8" i="18"/>
  <c r="C7" i="18"/>
  <c r="B61" i="11"/>
  <c r="C61" i="11" s="1"/>
  <c r="C60" i="11"/>
  <c r="B60" i="11"/>
  <c r="B59" i="11"/>
  <c r="C59" i="11" s="1"/>
  <c r="B55" i="11"/>
  <c r="B53" i="11"/>
  <c r="E39" i="11"/>
  <c r="D39" i="11"/>
  <c r="C39" i="11"/>
  <c r="B39" i="11"/>
  <c r="E38" i="11"/>
  <c r="D38" i="11"/>
  <c r="C38" i="11"/>
  <c r="F38" i="11" s="1"/>
  <c r="B38" i="11"/>
  <c r="E37" i="11"/>
  <c r="D37" i="11"/>
  <c r="C37" i="11"/>
  <c r="B37" i="11"/>
  <c r="B40" i="11" s="1"/>
  <c r="E36" i="11"/>
  <c r="D36" i="11"/>
  <c r="D40" i="11" s="1"/>
  <c r="C36" i="11"/>
  <c r="C40" i="11" s="1"/>
  <c r="B36" i="11"/>
  <c r="D31" i="11"/>
  <c r="C31" i="11"/>
  <c r="B31" i="11"/>
  <c r="E31" i="11" s="1"/>
  <c r="F31" i="11" s="1"/>
  <c r="G31" i="11" s="1"/>
  <c r="D30" i="11"/>
  <c r="D32" i="11" s="1"/>
  <c r="C30" i="11"/>
  <c r="C32" i="11" s="1"/>
  <c r="B30" i="11"/>
  <c r="B32" i="11" s="1"/>
  <c r="D25" i="11"/>
  <c r="C25" i="11"/>
  <c r="B25" i="11"/>
  <c r="E25" i="11" s="1"/>
  <c r="F25" i="11" s="1"/>
  <c r="D24" i="11"/>
  <c r="C24" i="11"/>
  <c r="E24" i="11" s="1"/>
  <c r="F24" i="11" s="1"/>
  <c r="G24" i="11" s="1"/>
  <c r="B24" i="11"/>
  <c r="D23" i="11"/>
  <c r="D26" i="11" s="1"/>
  <c r="C23" i="11"/>
  <c r="E23" i="11" s="1"/>
  <c r="F23" i="11" s="1"/>
  <c r="G23" i="11" s="1"/>
  <c r="B23" i="11"/>
  <c r="E22" i="11"/>
  <c r="E26" i="11" s="1"/>
  <c r="D22" i="11"/>
  <c r="C22" i="11"/>
  <c r="B22" i="11"/>
  <c r="B26" i="11" s="1"/>
  <c r="D17" i="11"/>
  <c r="C17" i="11"/>
  <c r="B17" i="11"/>
  <c r="E17" i="11" s="1"/>
  <c r="F17" i="11" s="1"/>
  <c r="D16" i="11"/>
  <c r="E16" i="11" s="1"/>
  <c r="F16" i="11" s="1"/>
  <c r="C16" i="11"/>
  <c r="B16" i="11"/>
  <c r="D15" i="11"/>
  <c r="C15" i="11"/>
  <c r="B15" i="11"/>
  <c r="E15" i="11" s="1"/>
  <c r="F15" i="11" s="1"/>
  <c r="D14" i="11"/>
  <c r="D18" i="11" s="1"/>
  <c r="C14" i="11"/>
  <c r="C18" i="11" s="1"/>
  <c r="B14" i="11"/>
  <c r="E14" i="11" s="1"/>
  <c r="E10" i="11"/>
  <c r="B10" i="11"/>
  <c r="C10" i="11" s="1"/>
  <c r="F10" i="11" s="1"/>
  <c r="B9" i="11"/>
  <c r="C9" i="11" s="1"/>
  <c r="B8" i="11"/>
  <c r="B62" i="11" s="1"/>
  <c r="C62" i="11" s="1"/>
  <c r="B7" i="11"/>
  <c r="C7" i="11" s="1"/>
  <c r="B6" i="11"/>
  <c r="F6" i="11" s="1"/>
  <c r="H173" i="10"/>
  <c r="G173" i="10"/>
  <c r="H164" i="10"/>
  <c r="G164" i="10"/>
  <c r="H155" i="10"/>
  <c r="G155" i="10"/>
  <c r="H146" i="10"/>
  <c r="G146" i="10"/>
  <c r="H137" i="10"/>
  <c r="G137" i="10"/>
  <c r="H128" i="10"/>
  <c r="G128" i="10"/>
  <c r="H119" i="10"/>
  <c r="G119" i="10"/>
  <c r="H110" i="10"/>
  <c r="G110" i="10"/>
  <c r="H101" i="10"/>
  <c r="G101" i="10"/>
  <c r="H92" i="10"/>
  <c r="G92" i="10"/>
  <c r="H83" i="10"/>
  <c r="G83" i="10"/>
  <c r="H74" i="10"/>
  <c r="G74" i="10"/>
  <c r="H65" i="10"/>
  <c r="G65" i="10"/>
  <c r="H56" i="10"/>
  <c r="G56" i="10"/>
  <c r="H47" i="10"/>
  <c r="G47" i="10"/>
  <c r="H38" i="10"/>
  <c r="G38" i="10"/>
  <c r="H29" i="10"/>
  <c r="G29" i="10"/>
  <c r="H20" i="10"/>
  <c r="H11" i="10"/>
  <c r="G11" i="10"/>
  <c r="H2" i="10"/>
  <c r="G2" i="10"/>
  <c r="L173" i="1"/>
  <c r="K173" i="1"/>
  <c r="G173" i="1"/>
  <c r="M28" i="12"/>
  <c r="M27" i="12"/>
  <c r="M26" i="12"/>
  <c r="M25" i="12"/>
  <c r="L28" i="12"/>
  <c r="L27" i="12"/>
  <c r="L26" i="12"/>
  <c r="L25" i="12"/>
  <c r="J28" i="12"/>
  <c r="J27" i="12"/>
  <c r="J26" i="12"/>
  <c r="J25" i="12"/>
  <c r="I28" i="12"/>
  <c r="I27" i="12"/>
  <c r="I26" i="12"/>
  <c r="I25" i="12"/>
  <c r="K19" i="12"/>
  <c r="K18" i="12"/>
  <c r="K17" i="12"/>
  <c r="K16" i="12"/>
  <c r="J19" i="12"/>
  <c r="J18" i="12"/>
  <c r="J17" i="12"/>
  <c r="J16" i="12"/>
  <c r="I19" i="12"/>
  <c r="I18" i="12"/>
  <c r="I17" i="12"/>
  <c r="I16" i="12"/>
  <c r="I20" i="12" s="1"/>
  <c r="J8" i="12"/>
  <c r="J7" i="12"/>
  <c r="J6" i="12"/>
  <c r="J5" i="12"/>
  <c r="I8" i="12"/>
  <c r="I7" i="12"/>
  <c r="I6" i="12"/>
  <c r="I5" i="12"/>
  <c r="L164" i="1"/>
  <c r="K164" i="1"/>
  <c r="G164" i="1"/>
  <c r="L155" i="1"/>
  <c r="K155" i="1"/>
  <c r="G155" i="1"/>
  <c r="L146" i="1"/>
  <c r="K146" i="1"/>
  <c r="G146" i="1"/>
  <c r="L137" i="1"/>
  <c r="K137" i="1"/>
  <c r="G137" i="1"/>
  <c r="L128" i="1"/>
  <c r="K128" i="1"/>
  <c r="G128" i="1"/>
  <c r="B29" i="9"/>
  <c r="C29" i="9"/>
  <c r="B30" i="9"/>
  <c r="C30" i="9"/>
  <c r="C31" i="9"/>
  <c r="B25" i="9"/>
  <c r="C25" i="9"/>
  <c r="D22" i="9"/>
  <c r="D23" i="9"/>
  <c r="D24" i="9"/>
  <c r="D25" i="9"/>
  <c r="B18" i="9"/>
  <c r="C18" i="9"/>
  <c r="D14" i="9"/>
  <c r="D15" i="9"/>
  <c r="D16" i="9"/>
  <c r="D17" i="9"/>
  <c r="D18" i="9"/>
  <c r="B10" i="9"/>
  <c r="L119" i="1"/>
  <c r="K119" i="1"/>
  <c r="G119" i="1"/>
  <c r="L110" i="1"/>
  <c r="K110" i="1"/>
  <c r="G110" i="1"/>
  <c r="L101" i="1"/>
  <c r="K101" i="1"/>
  <c r="G101" i="1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I14" i="3"/>
  <c r="D14" i="3"/>
  <c r="I13" i="3"/>
  <c r="D13" i="3"/>
  <c r="I12" i="3"/>
  <c r="D12" i="3"/>
  <c r="I11" i="3"/>
  <c r="D11" i="3"/>
  <c r="I10" i="3"/>
  <c r="D10" i="3"/>
  <c r="I9" i="3"/>
  <c r="D9" i="3"/>
  <c r="I8" i="3"/>
  <c r="D8" i="3"/>
  <c r="I7" i="3"/>
  <c r="D7" i="3"/>
  <c r="I6" i="3"/>
  <c r="D6" i="3"/>
  <c r="I5" i="3"/>
  <c r="D5" i="3"/>
  <c r="I4" i="3"/>
  <c r="D4" i="3"/>
  <c r="D3" i="3"/>
  <c r="L92" i="1"/>
  <c r="K92" i="1"/>
  <c r="G92" i="1"/>
  <c r="L83" i="1"/>
  <c r="K83" i="1"/>
  <c r="G83" i="1"/>
  <c r="L74" i="1"/>
  <c r="K74" i="1"/>
  <c r="G74" i="1"/>
  <c r="L65" i="1"/>
  <c r="K65" i="1"/>
  <c r="G65" i="1"/>
  <c r="L56" i="1"/>
  <c r="K56" i="1"/>
  <c r="G56" i="1"/>
  <c r="L47" i="1"/>
  <c r="K47" i="1"/>
  <c r="G47" i="1"/>
  <c r="L38" i="1"/>
  <c r="K38" i="1"/>
  <c r="G38" i="1"/>
  <c r="L29" i="1"/>
  <c r="K29" i="1"/>
  <c r="G29" i="1"/>
  <c r="L20" i="1"/>
  <c r="L11" i="1"/>
  <c r="K11" i="1"/>
  <c r="G11" i="1"/>
  <c r="L2" i="1"/>
  <c r="K2" i="1"/>
  <c r="G2" i="1"/>
  <c r="B45" i="11" l="1"/>
  <c r="C44" i="11"/>
  <c r="G15" i="11"/>
  <c r="B50" i="11"/>
  <c r="G16" i="11"/>
  <c r="C45" i="11"/>
  <c r="D45" i="11" s="1"/>
  <c r="B67" i="11"/>
  <c r="E67" i="11" s="1"/>
  <c r="B46" i="11"/>
  <c r="F40" i="11"/>
  <c r="G17" i="11"/>
  <c r="C46" i="11"/>
  <c r="F26" i="11"/>
  <c r="F7" i="11"/>
  <c r="E7" i="11"/>
  <c r="B66" i="11"/>
  <c r="B52" i="11"/>
  <c r="B69" i="11"/>
  <c r="F9" i="11"/>
  <c r="E9" i="11"/>
  <c r="E18" i="11"/>
  <c r="F18" i="11" s="1"/>
  <c r="F14" i="11"/>
  <c r="G25" i="11"/>
  <c r="B51" i="11"/>
  <c r="B68" i="11"/>
  <c r="B18" i="11"/>
  <c r="C26" i="11"/>
  <c r="E40" i="11"/>
  <c r="C8" i="11"/>
  <c r="F22" i="11"/>
  <c r="G22" i="11" s="1"/>
  <c r="F36" i="11"/>
  <c r="F37" i="11"/>
  <c r="E30" i="11"/>
  <c r="N25" i="12"/>
  <c r="J32" i="12" s="1"/>
  <c r="E6" i="11"/>
  <c r="F39" i="11"/>
  <c r="N26" i="12"/>
  <c r="J33" i="12" s="1"/>
  <c r="K28" i="12"/>
  <c r="I35" i="12" s="1"/>
  <c r="J20" i="12"/>
  <c r="L17" i="12"/>
  <c r="K20" i="12"/>
  <c r="I11" i="12"/>
  <c r="K6" i="12"/>
  <c r="K25" i="12"/>
  <c r="I32" i="12" s="1"/>
  <c r="K7" i="12"/>
  <c r="K8" i="12"/>
  <c r="K26" i="12"/>
  <c r="I33" i="12" s="1"/>
  <c r="J11" i="12"/>
  <c r="K27" i="12"/>
  <c r="I34" i="12" s="1"/>
  <c r="N27" i="12"/>
  <c r="J34" i="12" s="1"/>
  <c r="N28" i="12"/>
  <c r="J35" i="12" s="1"/>
  <c r="K5" i="12"/>
  <c r="L19" i="12"/>
  <c r="L16" i="12"/>
  <c r="L18" i="12"/>
  <c r="C6" i="9"/>
  <c r="C7" i="9"/>
  <c r="C8" i="9"/>
  <c r="C9" i="9"/>
  <c r="B9" i="2"/>
  <c r="B8" i="2"/>
  <c r="B7" i="2"/>
  <c r="B6" i="2"/>
  <c r="G4" i="3"/>
  <c r="G3" i="3"/>
  <c r="G5" i="3"/>
  <c r="B70" i="11" l="1"/>
  <c r="F8" i="11"/>
  <c r="E8" i="11"/>
  <c r="D46" i="11"/>
  <c r="M16" i="12"/>
  <c r="M19" i="12"/>
  <c r="M18" i="12"/>
  <c r="E69" i="11"/>
  <c r="D69" i="11"/>
  <c r="E68" i="11"/>
  <c r="D68" i="11"/>
  <c r="E32" i="11"/>
  <c r="F32" i="11" s="1"/>
  <c r="F30" i="11"/>
  <c r="G30" i="11" s="1"/>
  <c r="B54" i="11"/>
  <c r="G14" i="11"/>
  <c r="B44" i="11"/>
  <c r="F45" i="11"/>
  <c r="E45" i="11"/>
  <c r="M17" i="12"/>
  <c r="E66" i="11"/>
  <c r="D66" i="11"/>
  <c r="D44" i="11"/>
  <c r="B5" i="2"/>
  <c r="C7" i="2" s="1"/>
  <c r="K11" i="12"/>
  <c r="L20" i="12"/>
  <c r="G7" i="3"/>
  <c r="G6" i="3"/>
  <c r="M20" i="12" l="1"/>
  <c r="F44" i="11"/>
  <c r="E44" i="11"/>
  <c r="F46" i="11"/>
  <c r="E46" i="11"/>
  <c r="D70" i="11"/>
  <c r="E70" i="11"/>
  <c r="C6" i="2"/>
  <c r="C8" i="2"/>
</calcChain>
</file>

<file path=xl/sharedStrings.xml><?xml version="1.0" encoding="utf-8"?>
<sst xmlns="http://schemas.openxmlformats.org/spreadsheetml/2006/main" count="3394" uniqueCount="371">
  <si>
    <t>Details</t>
  </si>
  <si>
    <t>Merlin</t>
  </si>
  <si>
    <t>SM3.5</t>
  </si>
  <si>
    <t>Percentage Pass Unit</t>
  </si>
  <si>
    <t>WW13</t>
  </si>
  <si>
    <t>MSN</t>
  </si>
  <si>
    <t>Unit 1</t>
  </si>
  <si>
    <t>Unit 2</t>
  </si>
  <si>
    <t>Unit 3</t>
  </si>
  <si>
    <t>PIN TO PIN</t>
  </si>
  <si>
    <t>56A30400</t>
  </si>
  <si>
    <t>Pass</t>
  </si>
  <si>
    <t>Damage</t>
  </si>
  <si>
    <t xml:space="preserve">Damage </t>
  </si>
  <si>
    <t>IDD</t>
  </si>
  <si>
    <t>CONTINUITY</t>
  </si>
  <si>
    <t>FID</t>
  </si>
  <si>
    <t>HSRT FLOW</t>
  </si>
  <si>
    <t>STATUS UNIT</t>
  </si>
  <si>
    <t>REMARK</t>
  </si>
  <si>
    <t>ww13</t>
  </si>
  <si>
    <t>56A08BF1</t>
  </si>
  <si>
    <t>Fail</t>
  </si>
  <si>
    <t>VDDQc lamped error</t>
  </si>
  <si>
    <t>Failed at HSRT Test , need to rework</t>
  </si>
  <si>
    <t>Unit 3 (GM)</t>
  </si>
  <si>
    <t>Unit 4 (GM)</t>
  </si>
  <si>
    <t>56A079D4</t>
  </si>
  <si>
    <t>56A079A4</t>
  </si>
  <si>
    <t>ww14</t>
  </si>
  <si>
    <t>569F1C57</t>
  </si>
  <si>
    <t>569F1D2F</t>
  </si>
  <si>
    <t>56A07A05</t>
  </si>
  <si>
    <t>Damage after rework Green Mask</t>
  </si>
  <si>
    <t>56A47403</t>
  </si>
  <si>
    <t>56A05337</t>
  </si>
  <si>
    <t>569F1E00</t>
  </si>
  <si>
    <t>ww15</t>
  </si>
  <si>
    <t>56A47722</t>
  </si>
  <si>
    <t>56A3D065</t>
  </si>
  <si>
    <t>56A2FF26</t>
  </si>
  <si>
    <t>56A478EC</t>
  </si>
  <si>
    <t>ww16</t>
  </si>
  <si>
    <t>56CC8ADE</t>
  </si>
  <si>
    <t>56D31D3B</t>
  </si>
  <si>
    <t>Continuity short</t>
  </si>
  <si>
    <t>56A191E7</t>
  </si>
  <si>
    <t>56A19432</t>
  </si>
  <si>
    <t>PE checking the failure</t>
  </si>
  <si>
    <t>56A3020D</t>
  </si>
  <si>
    <t>Abnormal fid read</t>
  </si>
  <si>
    <t>56A7FFA3</t>
  </si>
  <si>
    <t>SOCAMM DOE Summary – Result (Auto Calculation)</t>
  </si>
  <si>
    <t>Metric</t>
  </si>
  <si>
    <t>Count</t>
  </si>
  <si>
    <t>% (of tested)</t>
  </si>
  <si>
    <t>Notes</t>
  </si>
  <si>
    <t>Total MSN (non-empty)</t>
  </si>
  <si>
    <t>MSN x 4 units per MSN</t>
  </si>
  <si>
    <t xml:space="preserve">Total unit done test (Pass+Fail+Damage) </t>
  </si>
  <si>
    <t>Uses SM3.5 STATUS UNIT columns (G-J)</t>
  </si>
  <si>
    <t>Passed</t>
  </si>
  <si>
    <t>Failed</t>
  </si>
  <si>
    <t>Pending / not final</t>
  </si>
  <si>
    <t>Waiting to test / In progress / Need to retest / blank</t>
  </si>
  <si>
    <t>SM3.5 STATUS UNIT Values (linked)</t>
  </si>
  <si>
    <t>Row</t>
  </si>
  <si>
    <t>Column</t>
  </si>
  <si>
    <t>Cell</t>
  </si>
  <si>
    <t>Value</t>
  </si>
  <si>
    <t>Counts</t>
  </si>
  <si>
    <t>MSN Values (non-empty counted)</t>
  </si>
  <si>
    <t>G</t>
  </si>
  <si>
    <t>Sheet1!G8</t>
  </si>
  <si>
    <t>H</t>
  </si>
  <si>
    <t>Sheet1!H8</t>
  </si>
  <si>
    <t>I</t>
  </si>
  <si>
    <t>Sheet1!I8</t>
  </si>
  <si>
    <t>J</t>
  </si>
  <si>
    <t>Sheet1!J8</t>
  </si>
  <si>
    <t>Pending/Other</t>
  </si>
  <si>
    <t>Sheet1!G17</t>
  </si>
  <si>
    <t>Total Tested</t>
  </si>
  <si>
    <t>Sheet1!H17</t>
  </si>
  <si>
    <t>Sheet1!I17</t>
  </si>
  <si>
    <t>Sheet1!J17</t>
  </si>
  <si>
    <t>Sheet1!G26</t>
  </si>
  <si>
    <t>Sheet1!H26</t>
  </si>
  <si>
    <t>Sheet1!I26</t>
  </si>
  <si>
    <t>Sheet1!J26</t>
  </si>
  <si>
    <t>Sheet1!G35</t>
  </si>
  <si>
    <t>Sheet1!H35</t>
  </si>
  <si>
    <t>Sheet1!I35</t>
  </si>
  <si>
    <t>Sheet1!J35</t>
  </si>
  <si>
    <t>Sheet1!G44</t>
  </si>
  <si>
    <t>Sheet1!H44</t>
  </si>
  <si>
    <t>Sheet1!I44</t>
  </si>
  <si>
    <t>Sheet1!J44</t>
  </si>
  <si>
    <t>Sheet1!G53</t>
  </si>
  <si>
    <t>Sheet1!H53</t>
  </si>
  <si>
    <t>Sheet1!I53</t>
  </si>
  <si>
    <t>Sheet1!J53</t>
  </si>
  <si>
    <t>Sheet1!G62</t>
  </si>
  <si>
    <t>Sheet1!H62</t>
  </si>
  <si>
    <t>Sheet1!I62</t>
  </si>
  <si>
    <t>Sheet1!J62</t>
  </si>
  <si>
    <t>Sheet1!G71</t>
  </si>
  <si>
    <t>Sheet1!H71</t>
  </si>
  <si>
    <t>Sheet1!I71</t>
  </si>
  <si>
    <t>Sheet1!J71</t>
  </si>
  <si>
    <t>Sheet1!G80</t>
  </si>
  <si>
    <t>Sheet1!H80</t>
  </si>
  <si>
    <t>Sheet1!I80</t>
  </si>
  <si>
    <t>Sheet1!J80</t>
  </si>
  <si>
    <t>Sheet1!G89</t>
  </si>
  <si>
    <t>Sheet1!H89</t>
  </si>
  <si>
    <t>Sheet1!I89</t>
  </si>
  <si>
    <t>Sheet1!J89</t>
  </si>
  <si>
    <t>Sheet1!G98</t>
  </si>
  <si>
    <t>Sheet1!H98</t>
  </si>
  <si>
    <t>Sheet1!I98</t>
  </si>
  <si>
    <t>Sheet1!J98</t>
  </si>
  <si>
    <t>Sheet1!G107</t>
  </si>
  <si>
    <t>Sheet1!H107</t>
  </si>
  <si>
    <t>Sheet1!I107</t>
  </si>
  <si>
    <t>Sheet1!J107</t>
  </si>
  <si>
    <t>📊 DOE STATUS - KEY INSIGHTS DASHBOARD (Including Waiting Test)</t>
  </si>
  <si>
    <t>Analysis Date: 4/17/2026</t>
  </si>
  <si>
    <t>1️⃣ OVERALL PERFORMANCE</t>
  </si>
  <si>
    <t>Percentage</t>
  </si>
  <si>
    <t>Waiting Test</t>
  </si>
  <si>
    <t>Total Units</t>
  </si>
  <si>
    <t>-</t>
  </si>
  <si>
    <t>2️⃣ UNIT POSITION ANALYSIS</t>
  </si>
  <si>
    <t>Unit Position</t>
  </si>
  <si>
    <t>Pass Rate</t>
  </si>
  <si>
    <t>Unit 4</t>
  </si>
  <si>
    <t>TOTAL</t>
  </si>
  <si>
    <t>3️⃣ WEEKLY TREND ANALYSIS</t>
  </si>
  <si>
    <t>Week</t>
  </si>
  <si>
    <t>WW14</t>
  </si>
  <si>
    <t>WW15</t>
  </si>
  <si>
    <t>4️⃣ TEST COMPLETION STATUS</t>
  </si>
  <si>
    <t>Status</t>
  </si>
  <si>
    <t>Completed (Pass+Fail+Damage)</t>
  </si>
  <si>
    <t>Pending (Waiting Test)</t>
  </si>
  <si>
    <t>Completion Rate</t>
  </si>
  <si>
    <t>5️⃣ KEY INSIGHTS &amp; RECOMMENDATIONS</t>
  </si>
  <si>
    <t>💡 Insight</t>
  </si>
  <si>
    <t>Finding</t>
  </si>
  <si>
    <t>Recommendation</t>
  </si>
  <si>
    <t>Unit 4 Performance</t>
  </si>
  <si>
    <t>Lowest pass rate (42.9%)</t>
  </si>
  <si>
    <t>Investigate fixture/alignment issues</t>
  </si>
  <si>
    <t>Unit 1 Performance</t>
  </si>
  <si>
    <t>Highest pass rate (78.6%)</t>
  </si>
  <si>
    <t>Use as benchmark for other positions</t>
  </si>
  <si>
    <t>WW15 Improvement</t>
  </si>
  <si>
    <t>81.3% pass rate, 0 failures!</t>
  </si>
  <si>
    <t>Document process changes made</t>
  </si>
  <si>
    <t>WW14 Damage Spike</t>
  </si>
  <si>
    <t>7 damaged units (29.2%)</t>
  </si>
  <si>
    <t>Review handling procedures</t>
  </si>
  <si>
    <t>Pending Tests</t>
  </si>
  <si>
    <t>6 units (10.2%) waiting</t>
  </si>
  <si>
    <t>Prioritize completion</t>
  </si>
  <si>
    <t>Top Failure Mode</t>
  </si>
  <si>
    <t>VDDQc Lamped Error</t>
  </si>
  <si>
    <t>Root cause analysis needed</t>
  </si>
  <si>
    <t>📊 DOE STATUS - COMPREHENSIVE INSIGHTS DASHBOARD</t>
  </si>
  <si>
    <t>Analysis Generated: 04/24/2026 | Data Source: DOE Pivot &amp; Charts | Auto-Refresh: Enabled</t>
  </si>
  <si>
    <t>1️⃣ KEY PERFORMANCE METRICS</t>
  </si>
  <si>
    <t>Target</t>
  </si>
  <si>
    <t>Visual Progress</t>
  </si>
  <si>
    <t>Trend</t>
  </si>
  <si>
    <t>📦 Total Units Tested</t>
  </si>
  <si>
    <t>≥150</t>
  </si>
  <si>
    <t>📊</t>
  </si>
  <si>
    <t>✅ Pass</t>
  </si>
  <si>
    <t>≥75%</t>
  </si>
  <si>
    <t>📈</t>
  </si>
  <si>
    <t>❌ Fail</t>
  </si>
  <si>
    <t>≤10%</t>
  </si>
  <si>
    <t>⚠️</t>
  </si>
  <si>
    <t>🔧 Damage</t>
  </si>
  <si>
    <t>🔧</t>
  </si>
  <si>
    <t>⏳ Pending</t>
  </si>
  <si>
    <t>⏳</t>
  </si>
  <si>
    <t>2️⃣ WEEKLY TREND ANALYSIS</t>
  </si>
  <si>
    <t>Week Status</t>
  </si>
  <si>
    <t>WW16</t>
  </si>
  <si>
    <t>📊 TOTAL</t>
  </si>
  <si>
    <t>📊 Overall</t>
  </si>
  <si>
    <t>3️⃣ UNIT POSITION ANALYSIS</t>
  </si>
  <si>
    <t>Total</t>
  </si>
  <si>
    <t>📊 Average</t>
  </si>
  <si>
    <t>4️⃣ PRODUCT COMPARISON (Merlin vs SM3.5)</t>
  </si>
  <si>
    <t>Product</t>
  </si>
  <si>
    <t>Performance</t>
  </si>
  <si>
    <t>📊 Combined</t>
  </si>
  <si>
    <t>5️⃣ WEEKLY UNIT PASS RATE BREAKDOWN (Cross-Tab Analysis)</t>
  </si>
  <si>
    <t>Week Avg</t>
  </si>
  <si>
    <t>📊 Unit Avg</t>
  </si>
  <si>
    <t>6️⃣ TREND ANALYSIS - WEEK-OVER-WEEK CHANGE</t>
  </si>
  <si>
    <t>Week Transition</t>
  </si>
  <si>
    <t>Previous Rate</t>
  </si>
  <si>
    <t>Current Rate</t>
  </si>
  <si>
    <t>Change</t>
  </si>
  <si>
    <t>Action</t>
  </si>
  <si>
    <t>WW13 → WW14</t>
  </si>
  <si>
    <t>WW14 → WW15</t>
  </si>
  <si>
    <t>WW15 → WW16</t>
  </si>
  <si>
    <t>7️⃣ KEY INSIGHTS &amp; RECOMMENDATIONS</t>
  </si>
  <si>
    <t>Impact</t>
  </si>
  <si>
    <t>Action Required</t>
  </si>
  <si>
    <t>Priority</t>
  </si>
  <si>
    <t>Owner</t>
  </si>
  <si>
    <t>🏆 Best Week</t>
  </si>
  <si>
    <t>High</t>
  </si>
  <si>
    <t>Medium</t>
  </si>
  <si>
    <t>Process Eng</t>
  </si>
  <si>
    <t>⚠️ Lowest Unit</t>
  </si>
  <si>
    <t>Check fixture/alignment issues</t>
  </si>
  <si>
    <t>Fixture Team</t>
  </si>
  <si>
    <t>🔧 Damage Rate</t>
  </si>
  <si>
    <t>Production</t>
  </si>
  <si>
    <t>❌ VDDQc Error</t>
  </si>
  <si>
    <t>Critical</t>
  </si>
  <si>
    <t>Quality</t>
  </si>
  <si>
    <t>📈 Trend</t>
  </si>
  <si>
    <t>Positive</t>
  </si>
  <si>
    <t>Continue current improvements</t>
  </si>
  <si>
    <t>Low</t>
  </si>
  <si>
    <t>All Teams</t>
  </si>
  <si>
    <t>Test Eng</t>
  </si>
  <si>
    <t>8️⃣ FAILURE MODE ANALYSIS</t>
  </si>
  <si>
    <t>Failure Mode</t>
  </si>
  <si>
    <t>Occurrences</t>
  </si>
  <si>
    <t>% of Failures</t>
  </si>
  <si>
    <t>Severity</t>
  </si>
  <si>
    <t>🔴 Open - RCA Required</t>
  </si>
  <si>
    <t>HSRT Test Failure</t>
  </si>
  <si>
    <t>🟡 Under Investigation</t>
  </si>
  <si>
    <t>PE Checking</t>
  </si>
  <si>
    <t>🟢 Monitoring</t>
  </si>
  <si>
    <t>Other/No Remark</t>
  </si>
  <si>
    <t>Unknown</t>
  </si>
  <si>
    <t>⚪ Needs Classification</t>
  </si>
  <si>
    <t>9️⃣ VISUAL DASHBOARD - PERFORMANCE INDICATORS</t>
  </si>
  <si>
    <t>Overall Pass Rate</t>
  </si>
  <si>
    <t>Best Week (WW15)</t>
  </si>
  <si>
    <t>🏆 Best</t>
  </si>
  <si>
    <t>Worst Unit (Unit 4)</t>
  </si>
  <si>
    <t>≥70%</t>
  </si>
  <si>
    <t>Damage Rate</t>
  </si>
  <si>
    <t>Fail Rate</t>
  </si>
  <si>
    <t>❌</t>
  </si>
  <si>
    <t>🔟 LEGEND &amp; DEFINITIONS</t>
  </si>
  <si>
    <t>Symbol</t>
  </si>
  <si>
    <t>Meaning</t>
  </si>
  <si>
    <t>Threshold</t>
  </si>
  <si>
    <t>Color Code</t>
  </si>
  <si>
    <t>🟢</t>
  </si>
  <si>
    <t>Excellent</t>
  </si>
  <si>
    <t>≥80%</t>
  </si>
  <si>
    <t>Green</t>
  </si>
  <si>
    <t>Continue</t>
  </si>
  <si>
    <t>No action needed</t>
  </si>
  <si>
    <t>🟡</t>
  </si>
  <si>
    <t>Good / Warning</t>
  </si>
  <si>
    <t>60-79%</t>
  </si>
  <si>
    <t>Yellow</t>
  </si>
  <si>
    <t>Monitor</t>
  </si>
  <si>
    <t>Track closely</t>
  </si>
  <si>
    <t>🔴</t>
  </si>
  <si>
    <t>Needs Attention</t>
  </si>
  <si>
    <t>&lt;60%</t>
  </si>
  <si>
    <t>Red</t>
  </si>
  <si>
    <t>Investigate</t>
  </si>
  <si>
    <t>Immediate action required</t>
  </si>
  <si>
    <t>Improving Trend</t>
  </si>
  <si>
    <t>&gt;5% increase</t>
  </si>
  <si>
    <t>Green Arrow</t>
  </si>
  <si>
    <t>Document</t>
  </si>
  <si>
    <t>Capture learnings</t>
  </si>
  <si>
    <t>📉</t>
  </si>
  <si>
    <t>Declining Trend</t>
  </si>
  <si>
    <t>&gt;5% decrease</t>
  </si>
  <si>
    <t>Red Arrow</t>
  </si>
  <si>
    <t>RCA</t>
  </si>
  <si>
    <t>Root cause analysis</t>
  </si>
  <si>
    <t>█</t>
  </si>
  <si>
    <t>Progress Bar</t>
  </si>
  <si>
    <t>1 block = 10%</t>
  </si>
  <si>
    <t>Visual</t>
  </si>
  <si>
    <t>Reference</t>
  </si>
  <si>
    <t>Quick visual indicator</t>
  </si>
  <si>
    <t>📊 DOE STATUS — PivotTables &amp; Charts Summary</t>
  </si>
  <si>
    <t>Generated: 4/22/2026, 8:03:35 PM</t>
  </si>
  <si>
    <t>📌 Summary 1: Overall Status (Count of Units)</t>
  </si>
  <si>
    <t>Unit</t>
  </si>
  <si>
    <t>Remark</t>
  </si>
  <si>
    <t>Pending</t>
  </si>
  <si>
    <t>📌 Summary 2: Weekly Trend (All Products)</t>
  </si>
  <si>
    <t>Tested</t>
  </si>
  <si>
    <t>📌 Summary 3: Pass Rate by Unit Position (Per Product)</t>
  </si>
  <si>
    <t>Merlin Tested</t>
  </si>
  <si>
    <t>Merlin Pass</t>
  </si>
  <si>
    <t>Merlin Pass Rate</t>
  </si>
  <si>
    <t>SM3.5 Tested</t>
  </si>
  <si>
    <t>SM3.5 Pass</t>
  </si>
  <si>
    <t>SM3.5 Pass Rate</t>
  </si>
  <si>
    <t>Need to retest</t>
  </si>
  <si>
    <t>On going retest</t>
  </si>
  <si>
    <t>📊 DOE STATUS - COMPREHENSIVE INSIGHTS DASHBOARD (Sheet1 SM3.5 Data)</t>
  </si>
  <si>
    <t>Analysis Generated: 04/24/2026 | Data Source: Sheet1 SM3.5 | Auto-Refresh: Enabled</t>
  </si>
  <si>
    <t>≥60</t>
  </si>
  <si>
    <t>✅ On Track</t>
  </si>
  <si>
    <t>██████████</t>
  </si>
  <si>
    <t>⚠️ Below Target</t>
  </si>
  <si>
    <t>██████░░░░</t>
  </si>
  <si>
    <t>🔴 High</t>
  </si>
  <si>
    <t>██░░░░░░░░</t>
  </si>
  <si>
    <t>🟡 Monitor</t>
  </si>
  <si>
    <t>█░░░░░░░░░</t>
  </si>
  <si>
    <t>⏳ In Progress</t>
  </si>
  <si>
    <t>🔴 Needs Improvement</t>
  </si>
  <si>
    <t>🟢 Excellent</t>
  </si>
  <si>
    <t>🟢 Good</t>
  </si>
  <si>
    <t>🟢 Best</t>
  </si>
  <si>
    <t>🟡 Good</t>
  </si>
  <si>
    <t>🔴 Needs Focus</t>
  </si>
  <si>
    <t>4️⃣ WEEKLY UNIT PASS RATE BREAKDOWN (Cross-Tab Analysis)</t>
  </si>
  <si>
    <t>5️⃣ WEEK-OVER-WEEK TREND ANALYSIS</t>
  </si>
  <si>
    <t>Transition</t>
  </si>
  <si>
    <t>From</t>
  </si>
  <si>
    <t>To</t>
  </si>
  <si>
    <t>Direction</t>
  </si>
  <si>
    <t>➡️ Stable</t>
  </si>
  <si>
    <t>📈 Improving</t>
  </si>
  <si>
    <t>📉 Declining</t>
  </si>
  <si>
    <t>6️⃣ KEY INSIGHTS &amp; RECOMMENDATIONS</t>
  </si>
  <si>
    <t>WW15: 87.5% pass rate</t>
  </si>
  <si>
    <t>Document process improvements</t>
  </si>
  <si>
    <t>🟡 Medium</t>
  </si>
  <si>
    <t>% Pass</t>
  </si>
  <si>
    <t>⚠️ Unit 4 Issue</t>
  </si>
  <si>
    <t>55.0% pass rate (lowest)</t>
  </si>
  <si>
    <t>Check fixture/alignment</t>
  </si>
  <si>
    <t>🔴 Critical</t>
  </si>
  <si>
    <t>📈 WW16 Trend</t>
  </si>
  <si>
    <t>80.0% pass rate, improving</t>
  </si>
  <si>
    <t>Continue current practices</t>
  </si>
  <si>
    <t>🟢 Low</t>
  </si>
  <si>
    <t>14.5% damage rate</t>
  </si>
  <si>
    <t>Other Failures</t>
  </si>
  <si>
    <t>⏳ Pending Tests</t>
  </si>
  <si>
    <t>4 units pending</t>
  </si>
  <si>
    <t>7️⃣ FAILURE MODE ANALYSIS</t>
  </si>
  <si>
    <t>% of Fails</t>
  </si>
  <si>
    <t>🟡 High</t>
  </si>
  <si>
    <t>🔥 PASS RATE HEATMAP BY WEEK &amp; UNIT</t>
  </si>
  <si>
    <t>Pass Rate (%)</t>
  </si>
  <si>
    <t>Legend</t>
  </si>
  <si>
    <t>Scale</t>
  </si>
  <si>
    <t>🟢 High</t>
  </si>
  <si>
    <t>🟡 Mid</t>
  </si>
  <si>
    <t>50-74%</t>
  </si>
  <si>
    <t>🔴 Low</t>
  </si>
  <si>
    <t>&lt;50%</t>
  </si>
  <si>
    <t>📊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</si>
</sst>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.0%;\-0.0%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</font>
    <font>
      <b/>
      <sz val="14"/>
      <name val="Calibri"/>
    </font>
    <font>
      <i/>
      <sz val="11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rgb="FF1F4E79"/>
      <name val="Calibri"/>
      <family val="2"/>
      <scheme val="minor"/>
    </font>
    <font>
      <b/>
      <sz val="11"/>
      <color rgb="FF1F4E7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DAEEF3"/>
        <bgColor rgb="FF000000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CE5CC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CE5E5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F5CC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60099"/>
        <bgColor indexed="64"/>
      </patternFill>
    </fill>
    <fill>
      <patternFill patternType="solid">
        <fgColor rgb="FFE6CCE6"/>
        <bgColor indexed="64"/>
      </patternFill>
    </fill>
    <fill>
      <patternFill patternType="solid">
        <fgColor rgb="FF4A4A4A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E0E0E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7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6" borderId="5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9" borderId="7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8" borderId="0" xfId="0" applyFill="1" applyAlignment="1">
      <alignment horizontal="center" vertical="center"/>
    </xf>
    <xf numFmtId="0" fontId="0" fillId="9" borderId="12" xfId="0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9" fontId="0" fillId="0" borderId="0" xfId="0" applyNumberFormat="1"/>
    <xf numFmtId="0" fontId="0" fillId="6" borderId="0" xfId="0" applyFill="1"/>
    <xf numFmtId="0" fontId="4" fillId="1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0" fontId="4" fillId="0" borderId="0" xfId="0" applyFont="1"/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7" xfId="0" applyBorder="1"/>
    <xf numFmtId="0" fontId="0" fillId="0" borderId="6" xfId="0" applyBorder="1"/>
    <xf numFmtId="0" fontId="0" fillId="0" borderId="3" xfId="0" applyBorder="1"/>
    <xf numFmtId="0" fontId="0" fillId="8" borderId="0" xfId="0" applyFill="1" applyAlignment="1">
      <alignment vertical="center"/>
    </xf>
    <xf numFmtId="0" fontId="0" fillId="8" borderId="1" xfId="0" applyFill="1" applyBorder="1" applyAlignment="1">
      <alignment vertical="center"/>
    </xf>
    <xf numFmtId="0" fontId="0" fillId="0" borderId="0" xfId="0" applyAlignment="1">
      <alignment vertical="center"/>
    </xf>
    <xf numFmtId="9" fontId="3" fillId="9" borderId="1" xfId="0" applyNumberFormat="1" applyFont="1" applyFill="1" applyBorder="1" applyAlignment="1">
      <alignment vertical="center"/>
    </xf>
    <xf numFmtId="0" fontId="6" fillId="0" borderId="0" xfId="0" applyFont="1"/>
    <xf numFmtId="164" fontId="0" fillId="0" borderId="0" xfId="0" applyNumberFormat="1"/>
    <xf numFmtId="0" fontId="1" fillId="15" borderId="0" xfId="0" applyFont="1" applyFill="1"/>
    <xf numFmtId="0" fontId="7" fillId="0" borderId="0" xfId="0" applyFont="1"/>
    <xf numFmtId="0" fontId="1" fillId="16" borderId="0" xfId="0" applyFont="1" applyFill="1"/>
    <xf numFmtId="164" fontId="1" fillId="15" borderId="0" xfId="0" applyNumberFormat="1" applyFont="1" applyFill="1"/>
    <xf numFmtId="0" fontId="1" fillId="8" borderId="0" xfId="0" applyFont="1" applyFill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0" fillId="8" borderId="3" xfId="0" applyFill="1" applyBorder="1"/>
    <xf numFmtId="0" fontId="12" fillId="19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8" borderId="2" xfId="0" applyFill="1" applyBorder="1"/>
    <xf numFmtId="0" fontId="0" fillId="8" borderId="2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8" xfId="0" applyFill="1" applyBorder="1"/>
    <xf numFmtId="0" fontId="1" fillId="0" borderId="0" xfId="0" applyFont="1"/>
    <xf numFmtId="10" fontId="0" fillId="0" borderId="0" xfId="0" applyNumberFormat="1"/>
    <xf numFmtId="0" fontId="0" fillId="20" borderId="0" xfId="0" applyFill="1"/>
    <xf numFmtId="0" fontId="0" fillId="21" borderId="0" xfId="0" applyFill="1"/>
    <xf numFmtId="0" fontId="0" fillId="15" borderId="0" xfId="0" applyFill="1"/>
    <xf numFmtId="0" fontId="1" fillId="26" borderId="0" xfId="0" applyFont="1" applyFill="1"/>
    <xf numFmtId="0" fontId="0" fillId="22" borderId="0" xfId="0" applyFill="1"/>
    <xf numFmtId="0" fontId="0" fillId="27" borderId="0" xfId="0" applyFill="1"/>
    <xf numFmtId="164" fontId="0" fillId="15" borderId="0" xfId="0" applyNumberFormat="1" applyFill="1"/>
    <xf numFmtId="164" fontId="0" fillId="21" borderId="0" xfId="0" applyNumberFormat="1" applyFill="1"/>
    <xf numFmtId="164" fontId="0" fillId="20" borderId="0" xfId="0" applyNumberFormat="1" applyFill="1"/>
    <xf numFmtId="164" fontId="0" fillId="27" borderId="0" xfId="0" applyNumberFormat="1" applyFill="1"/>
    <xf numFmtId="0" fontId="1" fillId="29" borderId="0" xfId="0" applyFont="1" applyFill="1"/>
    <xf numFmtId="0" fontId="1" fillId="30" borderId="0" xfId="0" applyFont="1" applyFill="1"/>
    <xf numFmtId="164" fontId="1" fillId="30" borderId="0" xfId="0" applyNumberFormat="1" applyFont="1" applyFill="1"/>
    <xf numFmtId="0" fontId="1" fillId="32" borderId="0" xfId="0" applyFont="1" applyFill="1"/>
    <xf numFmtId="0" fontId="14" fillId="33" borderId="0" xfId="0" applyFont="1" applyFill="1"/>
    <xf numFmtId="164" fontId="14" fillId="33" borderId="0" xfId="0" applyNumberFormat="1" applyFont="1" applyFill="1"/>
    <xf numFmtId="0" fontId="1" fillId="35" borderId="0" xfId="0" applyFont="1" applyFill="1"/>
    <xf numFmtId="0" fontId="14" fillId="17" borderId="0" xfId="0" applyFont="1" applyFill="1"/>
    <xf numFmtId="164" fontId="14" fillId="17" borderId="0" xfId="0" applyNumberFormat="1" applyFont="1" applyFill="1"/>
    <xf numFmtId="0" fontId="1" fillId="37" borderId="0" xfId="0" applyFont="1" applyFill="1"/>
    <xf numFmtId="0" fontId="14" fillId="24" borderId="0" xfId="0" applyFont="1" applyFill="1"/>
    <xf numFmtId="164" fontId="14" fillId="24" borderId="0" xfId="0" applyNumberFormat="1" applyFont="1" applyFill="1"/>
    <xf numFmtId="0" fontId="1" fillId="23" borderId="0" xfId="0" applyFont="1" applyFill="1"/>
    <xf numFmtId="165" fontId="0" fillId="0" borderId="0" xfId="0" applyNumberFormat="1"/>
    <xf numFmtId="0" fontId="1" fillId="25" borderId="0" xfId="0" applyFont="1" applyFill="1"/>
    <xf numFmtId="0" fontId="1" fillId="40" borderId="0" xfId="0" applyFont="1" applyFill="1"/>
    <xf numFmtId="164" fontId="0" fillId="22" borderId="0" xfId="0" applyNumberFormat="1" applyFill="1"/>
    <xf numFmtId="0" fontId="1" fillId="43" borderId="0" xfId="0" applyFont="1" applyFill="1"/>
    <xf numFmtId="0" fontId="1" fillId="45" borderId="0" xfId="0" applyFont="1" applyFill="1"/>
    <xf numFmtId="0" fontId="14" fillId="39" borderId="0" xfId="0" applyFont="1" applyFill="1"/>
    <xf numFmtId="0" fontId="1" fillId="46" borderId="0" xfId="0" applyFont="1" applyFill="1"/>
    <xf numFmtId="0" fontId="14" fillId="47" borderId="0" xfId="0" applyFont="1" applyFill="1"/>
    <xf numFmtId="0" fontId="1" fillId="48" borderId="0" xfId="0" applyFont="1" applyFill="1"/>
    <xf numFmtId="0" fontId="14" fillId="49" borderId="0" xfId="0" applyFont="1" applyFill="1"/>
    <xf numFmtId="0" fontId="1" fillId="50" borderId="0" xfId="0" applyFont="1" applyFill="1"/>
    <xf numFmtId="164" fontId="14" fillId="49" borderId="0" xfId="0" applyNumberFormat="1" applyFont="1" applyFill="1"/>
    <xf numFmtId="0" fontId="1" fillId="52" borderId="0" xfId="0" applyFont="1" applyFill="1"/>
    <xf numFmtId="0" fontId="1" fillId="54" borderId="0" xfId="0" applyFont="1" applyFill="1"/>
    <xf numFmtId="0" fontId="1" fillId="56" borderId="0" xfId="0" applyFont="1" applyFill="1"/>
    <xf numFmtId="0" fontId="14" fillId="57" borderId="19" xfId="0" applyFont="1" applyFill="1" applyBorder="1" applyAlignment="1">
      <alignment horizontal="center"/>
    </xf>
    <xf numFmtId="0" fontId="14" fillId="57" borderId="14" xfId="0" applyFont="1" applyFill="1" applyBorder="1" applyAlignment="1">
      <alignment horizontal="center"/>
    </xf>
    <xf numFmtId="0" fontId="0" fillId="58" borderId="19" xfId="0" applyFill="1" applyBorder="1" applyAlignment="1">
      <alignment horizontal="center"/>
    </xf>
    <xf numFmtId="0" fontId="0" fillId="59" borderId="19" xfId="0" applyFill="1" applyBorder="1" applyAlignment="1">
      <alignment horizontal="center"/>
    </xf>
    <xf numFmtId="0" fontId="0" fillId="60" borderId="19" xfId="0" applyFill="1" applyBorder="1" applyAlignment="1">
      <alignment horizontal="center"/>
    </xf>
    <xf numFmtId="0" fontId="0" fillId="58" borderId="14" xfId="0" applyFill="1" applyBorder="1" applyAlignment="1">
      <alignment horizontal="center"/>
    </xf>
    <xf numFmtId="0" fontId="0" fillId="59" borderId="14" xfId="0" applyFill="1" applyBorder="1" applyAlignment="1">
      <alignment horizontal="center"/>
    </xf>
    <xf numFmtId="0" fontId="0" fillId="60" borderId="14" xfId="0" applyFill="1" applyBorder="1" applyAlignment="1">
      <alignment horizontal="center"/>
    </xf>
    <xf numFmtId="9" fontId="19" fillId="0" borderId="14" xfId="0" applyNumberFormat="1" applyFont="1" applyBorder="1" applyAlignment="1">
      <alignment horizontal="center"/>
    </xf>
    <xf numFmtId="164" fontId="19" fillId="61" borderId="14" xfId="0" applyNumberFormat="1" applyFont="1" applyFill="1" applyBorder="1" applyAlignment="1">
      <alignment horizontal="center"/>
    </xf>
    <xf numFmtId="9" fontId="19" fillId="61" borderId="14" xfId="0" applyNumberFormat="1" applyFont="1" applyFill="1" applyBorder="1" applyAlignment="1">
      <alignment horizontal="center"/>
    </xf>
    <xf numFmtId="9" fontId="0" fillId="0" borderId="0" xfId="1" applyFont="1"/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0" fillId="10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9" xfId="0" applyFill="1" applyBorder="1" applyAlignment="1">
      <alignment horizontal="center"/>
    </xf>
    <xf numFmtId="0" fontId="0" fillId="7" borderId="14" xfId="0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5" fillId="18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0" fontId="8" fillId="34" borderId="18" xfId="0" applyFont="1" applyFill="1" applyBorder="1" applyAlignment="1">
      <alignment horizontal="center"/>
    </xf>
    <xf numFmtId="0" fontId="16" fillId="44" borderId="0" xfId="0" applyFont="1" applyFill="1" applyAlignment="1">
      <alignment horizontal="center"/>
    </xf>
    <xf numFmtId="0" fontId="17" fillId="44" borderId="0" xfId="0" applyFont="1" applyFill="1" applyAlignment="1">
      <alignment horizontal="center"/>
    </xf>
    <xf numFmtId="0" fontId="0" fillId="0" borderId="2" xfId="0" applyBorder="1" applyAlignment="1"/>
    <xf numFmtId="0" fontId="0" fillId="0" borderId="13" xfId="0" applyBorder="1" applyAlignment="1"/>
    <xf numFmtId="0" fontId="0" fillId="0" borderId="6" xfId="0" applyBorder="1" applyAlignment="1"/>
    <xf numFmtId="0" fontId="0" fillId="8" borderId="8" xfId="0" applyFill="1" applyBorder="1" applyAlignment="1"/>
    <xf numFmtId="0" fontId="0" fillId="8" borderId="9" xfId="0" applyFill="1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8" borderId="13" xfId="0" applyFill="1" applyBorder="1" applyAlignment="1"/>
    <xf numFmtId="0" fontId="0" fillId="8" borderId="2" xfId="0" applyFill="1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0" xfId="0" applyAlignment="1"/>
    <xf numFmtId="0" fontId="8" fillId="14" borderId="0" xfId="0" applyFont="1" applyFill="1" applyAlignment="1"/>
    <xf numFmtId="0" fontId="16" fillId="24" borderId="0" xfId="0" applyFont="1" applyFill="1" applyAlignment="1"/>
    <xf numFmtId="0" fontId="16" fillId="28" borderId="0" xfId="0" applyFont="1" applyFill="1" applyAlignment="1"/>
    <xf numFmtId="0" fontId="16" fillId="31" borderId="0" xfId="0" applyFont="1" applyFill="1" applyAlignment="1"/>
    <xf numFmtId="0" fontId="16" fillId="34" borderId="0" xfId="0" applyFont="1" applyFill="1" applyAlignment="1"/>
    <xf numFmtId="0" fontId="16" fillId="36" borderId="0" xfId="0" applyFont="1" applyFill="1" applyAlignment="1"/>
    <xf numFmtId="0" fontId="16" fillId="3" borderId="0" xfId="0" applyFont="1" applyFill="1" applyAlignment="1"/>
    <xf numFmtId="0" fontId="16" fillId="38" borderId="0" xfId="0" applyFont="1" applyFill="1" applyAlignment="1"/>
    <xf numFmtId="0" fontId="16" fillId="39" borderId="0" xfId="0" applyFont="1" applyFill="1" applyAlignment="1"/>
    <xf numFmtId="0" fontId="16" fillId="41" borderId="0" xfId="0" applyFont="1" applyFill="1" applyAlignment="1"/>
    <xf numFmtId="0" fontId="16" fillId="42" borderId="0" xfId="0" applyFont="1" applyFill="1" applyAlignment="1"/>
    <xf numFmtId="0" fontId="9" fillId="18" borderId="0" xfId="0" applyFont="1" applyFill="1" applyAlignment="1"/>
    <xf numFmtId="0" fontId="11" fillId="19" borderId="0" xfId="0" applyFont="1" applyFill="1" applyAlignment="1"/>
    <xf numFmtId="0" fontId="14" fillId="44" borderId="0" xfId="0" applyFont="1" applyFill="1" applyAlignment="1"/>
    <xf numFmtId="0" fontId="14" fillId="39" borderId="0" xfId="0" applyFont="1" applyFill="1" applyAlignment="1"/>
    <xf numFmtId="0" fontId="14" fillId="47" borderId="0" xfId="0" applyFont="1" applyFill="1" applyAlignment="1"/>
    <xf numFmtId="0" fontId="14" fillId="49" borderId="0" xfId="0" applyFont="1" applyFill="1" applyAlignment="1"/>
    <xf numFmtId="0" fontId="18" fillId="51" borderId="0" xfId="0" applyFont="1" applyFill="1" applyAlignment="1"/>
    <xf numFmtId="0" fontId="14" fillId="53" borderId="0" xfId="0" applyFont="1" applyFill="1" applyAlignment="1"/>
    <xf numFmtId="0" fontId="14" fillId="55" borderId="0" xfId="0" applyFont="1" applyFill="1" applyAlignment="1"/>
  </cellXfs>
  <cellStyles count="2">
    <cellStyle name="Normal" xfId="0" builtinId="0"/>
    <cellStyle name="Percent" xfId="1" builtinId="5"/>
  </cellStyles>
  <dxfs count="27">
    <dxf>
      <font>
        <b/>
        <i val="0"/>
        <color rgb="FF9C0006"/>
      </font>
    </dxf>
    <dxf>
      <font>
        <b/>
        <i val="0"/>
        <color rgb="FF741B47"/>
      </font>
      <fill>
        <patternFill patternType="solid">
          <fgColor indexed="64"/>
          <bgColor rgb="FFEAD1DC"/>
        </patternFill>
      </fill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203764"/>
      </font>
      <fill>
        <patternFill patternType="solid">
          <fgColor indexed="64"/>
          <bgColor rgb="FFD9E1F2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741B47"/>
      </font>
      <fill>
        <patternFill patternType="solid">
          <fgColor indexed="64"/>
          <bgColor rgb="FFEAD1DC"/>
        </patternFill>
      </fill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203764"/>
      </font>
      <fill>
        <patternFill patternType="solid">
          <fgColor indexed="64"/>
          <bgColor rgb="FFD9E1F2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</dxf>
    <dxf>
      <font>
        <b/>
        <i val="0"/>
        <color rgb="FF741B47"/>
      </font>
      <fill>
        <patternFill patternType="solid">
          <fgColor indexed="64"/>
          <bgColor rgb="FFEAD1DC"/>
        </patternFill>
      </fill>
    </dxf>
    <dxf>
      <font>
        <b/>
        <i val="0"/>
        <color rgb="FF595959"/>
      </font>
      <fill>
        <patternFill patternType="solid">
          <fgColor indexed="64"/>
          <bgColor rgb="FFE7E6E6"/>
        </patternFill>
      </fill>
    </dxf>
    <dxf>
      <font>
        <b/>
        <i val="0"/>
        <color rgb="FF203764"/>
      </font>
      <fill>
        <patternFill patternType="solid">
          <fgColor indexed="64"/>
          <bgColor rgb="FFD9E1F2"/>
        </patternFill>
      </fill>
    </dxf>
    <dxf>
      <font>
        <b/>
        <i val="0"/>
        <color rgb="FF9C5700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Status Counts (Pass/Fail/Damage)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'DOE Pivot &amp; Charts'!$H$5</c:f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'DOE Pivot &amp; Charts'!$I$4:$K$4</c:f>
              <c:strCache>
                <c:ptCount val="3"/>
                <c:pt idx="0">
                  <c:v>Merlin</c:v>
                </c:pt>
                <c:pt idx="1">
                  <c:v>SM3.5</c:v>
                </c:pt>
                <c:pt idx="2">
                  <c:v>Total</c:v>
                </c:pt>
              </c:strCache>
            </c:strRef>
          </c:cat>
          <c:val>
            <c:numRef>
              <c:f>'DOE Pivot &amp; Charts'!$I$5:$K$5</c:f>
            </c:numRef>
          </c:val>
          <c:extLst>
            <c:ext xmlns:c16="http://schemas.microsoft.com/office/drawing/2014/chart" uri="{C3380CC4-5D6E-409C-BE32-E72D297353CC}">
              <c16:uniqueId val="{00000000-6CD5-4511-B482-98D8BAC3A1F1}"/>
            </c:ext>
          </c:extLst>
        </c:ser>
        <c:ser>
          <c:idx val="1"/>
          <c:order val="1"/>
          <c:tx>
            <c:strRef>
              <c:f>'DOE Pivot &amp; Charts'!$H$6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'DOE Pivot &amp; Charts'!$I$4:$K$4</c:f>
              <c:strCache>
                <c:ptCount val="3"/>
                <c:pt idx="0">
                  <c:v>Merlin</c:v>
                </c:pt>
                <c:pt idx="1">
                  <c:v>SM3.5</c:v>
                </c:pt>
                <c:pt idx="2">
                  <c:v>Total</c:v>
                </c:pt>
              </c:strCache>
            </c:strRef>
          </c:cat>
          <c:val>
            <c:numRef>
              <c:f>'DOE Pivot &amp; Charts'!$I$6:$K$6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D5-4511-B482-98D8BAC3A1F1}"/>
            </c:ext>
          </c:extLst>
        </c:ser>
        <c:ser>
          <c:idx val="2"/>
          <c:order val="2"/>
          <c:tx>
            <c:strRef>
              <c:f>'DOE Pivot &amp; Charts'!$H$7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'DOE Pivot &amp; Charts'!$I$4:$K$4</c:f>
              <c:strCache>
                <c:ptCount val="3"/>
                <c:pt idx="0">
                  <c:v>Merlin</c:v>
                </c:pt>
                <c:pt idx="1">
                  <c:v>SM3.5</c:v>
                </c:pt>
                <c:pt idx="2">
                  <c:v>Total</c:v>
                </c:pt>
              </c:strCache>
            </c:strRef>
          </c:cat>
          <c:val>
            <c:numRef>
              <c:f>'DOE Pivot &amp; Charts'!$I$7:$K$7</c:f>
            </c:numRef>
          </c:val>
          <c:extLst>
            <c:ext xmlns:c16="http://schemas.microsoft.com/office/drawing/2014/chart" uri="{C3380CC4-5D6E-409C-BE32-E72D297353CC}">
              <c16:uniqueId val="{00000004-6CD5-4511-B482-98D8BAC3A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149192"/>
        <c:axId val="1473749512"/>
      </c:barChart>
      <c:catAx>
        <c:axId val="789149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749512"/>
        <c:crosses val="autoZero"/>
        <c:auto val="1"/>
        <c:lblAlgn val="ctr"/>
        <c:lblOffset val="100"/>
        <c:noMultiLvlLbl val="0"/>
      </c:catAx>
      <c:valAx>
        <c:axId val="147374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14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Trend — Units Count (Pass/Fail/Damage)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'DOE Pivot &amp; Charts'!$I$15</c:f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'DOE Pivot &amp; Charts'!$H$16:$H$19</c:f>
              <c:strCache>
                <c:ptCount val="2"/>
                <c:pt idx="0">
                  <c:v>WW13</c:v>
                </c:pt>
                <c:pt idx="1">
                  <c:v>WW15</c:v>
                </c:pt>
              </c:strCache>
            </c:strRef>
          </c:cat>
          <c:val>
            <c:numRef>
              <c:f>'DOE Pivot &amp; Charts'!$I$16:$I$19</c:f>
              <c:numCache>
                <c:formatCode>General</c:formatCode>
                <c:ptCount val="2"/>
                <c:pt idx="0">
                  <c:v>18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6-4587-9A7B-FBC2555452B9}"/>
            </c:ext>
          </c:extLst>
        </c:ser>
        <c:ser>
          <c:idx val="1"/>
          <c:order val="1"/>
          <c:tx>
            <c:strRef>
              <c:f>'DOE Pivot &amp; Charts'!$J$15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'DOE Pivot &amp; Charts'!$H$16:$H$19</c:f>
              <c:strCache>
                <c:ptCount val="2"/>
                <c:pt idx="0">
                  <c:v>WW13</c:v>
                </c:pt>
                <c:pt idx="1">
                  <c:v>WW15</c:v>
                </c:pt>
              </c:strCache>
            </c:strRef>
          </c:cat>
          <c:val>
            <c:numRef>
              <c:f>'DOE Pivot &amp; Charts'!$J$16:$J$19</c:f>
              <c:numCache>
                <c:formatCode>General</c:formatCode>
                <c:ptCount val="2"/>
                <c:pt idx="0">
                  <c:v>8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76-4587-9A7B-FBC2555452B9}"/>
            </c:ext>
          </c:extLst>
        </c:ser>
        <c:ser>
          <c:idx val="2"/>
          <c:order val="2"/>
          <c:tx>
            <c:strRef>
              <c:f>'DOE Pivot &amp; Charts'!$K$15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'DOE Pivot &amp; Charts'!$H$16:$H$19</c:f>
              <c:strCache>
                <c:ptCount val="2"/>
                <c:pt idx="0">
                  <c:v>WW13</c:v>
                </c:pt>
                <c:pt idx="1">
                  <c:v>WW15</c:v>
                </c:pt>
              </c:strCache>
            </c:strRef>
          </c:cat>
          <c:val>
            <c:numRef>
              <c:f>'DOE Pivot &amp; Charts'!$K$16:$K$19</c:f>
              <c:numCache>
                <c:formatCode>General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76-4587-9A7B-FBC255545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0193288"/>
        <c:axId val="780203528"/>
      </c:barChart>
      <c:catAx>
        <c:axId val="780193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203528"/>
        <c:crosses val="autoZero"/>
        <c:auto val="1"/>
        <c:lblAlgn val="ctr"/>
        <c:lblOffset val="100"/>
        <c:noMultiLvlLbl val="0"/>
      </c:catAx>
      <c:valAx>
        <c:axId val="78020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193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 Rate by Unit Position (Merlin vs SM3.5)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'DOE Pivot &amp; Charts'!$I$31</c:f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'DOE Pivot &amp; Charts'!$H$32:$H$35</c:f>
              <c:strCache>
                <c:ptCount val="2"/>
                <c:pt idx="0">
                  <c:v>Unit 1</c:v>
                </c:pt>
                <c:pt idx="1">
                  <c:v>Unit 3</c:v>
                </c:pt>
              </c:strCache>
            </c:strRef>
          </c:cat>
          <c:val>
            <c:numRef>
              <c:f>'DOE Pivot &amp; Charts'!$I$32:$I$35</c:f>
              <c:numCache>
                <c:formatCode>0.0%</c:formatCode>
                <c:ptCount val="2"/>
                <c:pt idx="0">
                  <c:v>0.78947368421052633</c:v>
                </c:pt>
                <c:pt idx="1">
                  <c:v>0.63157894736842102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9-41FF-A0B5-109E710365FF}"/>
            </c:ext>
          </c:extLst>
        </c:ser>
        <c:ser>
          <c:idx val="1"/>
          <c:order val="1"/>
          <c:tx>
            <c:strRef>
              <c:f>'DOE Pivot &amp; Charts'!$J$31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'DOE Pivot &amp; Charts'!$H$32:$H$35</c:f>
              <c:strCache>
                <c:ptCount val="2"/>
                <c:pt idx="0">
                  <c:v>Unit 1</c:v>
                </c:pt>
                <c:pt idx="1">
                  <c:v>Unit 3</c:v>
                </c:pt>
              </c:strCache>
            </c:strRef>
          </c:cat>
          <c:val>
            <c:numRef>
              <c:f>'DOE Pivot &amp; Charts'!$J$32:$J$35</c:f>
              <c:numCache>
                <c:formatCode>0.0%</c:formatCode>
                <c:ptCount val="2"/>
                <c:pt idx="0">
                  <c:v>0.76470588235294112</c:v>
                </c:pt>
                <c:pt idx="1">
                  <c:v>0.6470588235294118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C9-41FF-A0B5-109E71036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4676872"/>
        <c:axId val="784678920"/>
      </c:barChart>
      <c:catAx>
        <c:axId val="78467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678920"/>
        <c:crosses val="autoZero"/>
        <c:auto val="1"/>
        <c:lblAlgn val="ctr"/>
        <c:lblOffset val="100"/>
        <c:noMultiLvlLbl val="0"/>
      </c:catAx>
      <c:valAx>
        <c:axId val="78467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676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'Sheet1 Insights'!$J$4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00AA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02-4B63-B228-A6D76467CA4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202-4B63-B228-A6D76467CA48}"/>
              </c:ext>
            </c:extLst>
          </c:dPt>
          <c:dPt>
            <c:idx val="2"/>
            <c:bubble3D val="0"/>
            <c:spPr>
              <a:solidFill>
                <a:srgbClr val="FF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02-4B63-B228-A6D76467CA48}"/>
              </c:ext>
            </c:extLst>
          </c:dPt>
          <c:dPt>
            <c:idx val="3"/>
            <c:bubble3D val="0"/>
            <c:spPr>
              <a:solidFill>
                <a:srgbClr val="0066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202-4B63-B228-A6D76467CA48}"/>
              </c:ext>
            </c:extLst>
          </c:dPt>
          <c:cat>
            <c:strRef>
              <c:f>'Sheet1 Insights'!$I$5:$I$8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Damage</c:v>
                </c:pt>
                <c:pt idx="3">
                  <c:v>Pending</c:v>
                </c:pt>
              </c:strCache>
            </c:strRef>
          </c:cat>
          <c:val>
            <c:numRef>
              <c:f>'Sheet1 Insights'!$J$5:$J$8</c:f>
              <c:numCache>
                <c:formatCode>General</c:formatCode>
                <c:ptCount val="4"/>
                <c:pt idx="0">
                  <c:v>52</c:v>
                </c:pt>
                <c:pt idx="1">
                  <c:v>13</c:v>
                </c:pt>
                <c:pt idx="2">
                  <c:v>11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2-4B63-B228-A6D76467C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Status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'Sheet1 Insights'!$J$24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00AA00"/>
            </a:solidFill>
            <a:ln>
              <a:noFill/>
            </a:ln>
            <a:effectLst/>
          </c:spPr>
          <c:invertIfNegative val="0"/>
          <c:cat>
            <c:strRef>
              <c:f>'Sheet1 Insights'!$I$25:$I$28</c:f>
              <c:strCache>
                <c:ptCount val="4"/>
                <c:pt idx="0">
                  <c:v>WW13</c:v>
                </c:pt>
                <c:pt idx="1">
                  <c:v>WW14</c:v>
                </c:pt>
                <c:pt idx="2">
                  <c:v>WW15</c:v>
                </c:pt>
                <c:pt idx="3">
                  <c:v>WW16</c:v>
                </c:pt>
              </c:strCache>
            </c:strRef>
          </c:cat>
          <c:val>
            <c:numRef>
              <c:f>'Sheet1 Insights'!$J$25:$J$28</c:f>
              <c:numCache>
                <c:formatCode>General</c:formatCode>
                <c:ptCount val="4"/>
                <c:pt idx="0">
                  <c:v>9</c:v>
                </c:pt>
                <c:pt idx="1">
                  <c:v>13</c:v>
                </c:pt>
                <c:pt idx="2">
                  <c:v>14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D-42BE-8D58-21F5E27289BD}"/>
            </c:ext>
          </c:extLst>
        </c:ser>
        <c:ser>
          <c:idx val="1"/>
          <c:order val="1"/>
          <c:tx>
            <c:strRef>
              <c:f>'Sheet1 Insights'!$K$24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'Sheet1 Insights'!$I$25:$I$28</c:f>
              <c:strCache>
                <c:ptCount val="4"/>
                <c:pt idx="0">
                  <c:v>WW13</c:v>
                </c:pt>
                <c:pt idx="1">
                  <c:v>WW14</c:v>
                </c:pt>
                <c:pt idx="2">
                  <c:v>WW15</c:v>
                </c:pt>
                <c:pt idx="3">
                  <c:v>WW16</c:v>
                </c:pt>
              </c:strCache>
            </c:strRef>
          </c:cat>
          <c:val>
            <c:numRef>
              <c:f>'Sheet1 Insights'!$K$25:$K$28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AD-42BE-8D58-21F5E27289BD}"/>
            </c:ext>
          </c:extLst>
        </c:ser>
        <c:ser>
          <c:idx val="2"/>
          <c:order val="2"/>
          <c:tx>
            <c:strRef>
              <c:f>'Sheet1 Insights'!$L$24</c:f>
              <c:strCache>
                <c:ptCount val="1"/>
                <c:pt idx="0">
                  <c:v>Damage</c:v>
                </c:pt>
              </c:strCache>
            </c:strRef>
          </c:tx>
          <c:spPr>
            <a:solidFill>
              <a:srgbClr val="FF8C00"/>
            </a:solidFill>
            <a:ln>
              <a:noFill/>
            </a:ln>
            <a:effectLst/>
          </c:spPr>
          <c:invertIfNegative val="0"/>
          <c:cat>
            <c:strRef>
              <c:f>'Sheet1 Insights'!$I$25:$I$28</c:f>
              <c:strCache>
                <c:ptCount val="4"/>
                <c:pt idx="0">
                  <c:v>WW13</c:v>
                </c:pt>
                <c:pt idx="1">
                  <c:v>WW14</c:v>
                </c:pt>
                <c:pt idx="2">
                  <c:v>WW15</c:v>
                </c:pt>
                <c:pt idx="3">
                  <c:v>WW16</c:v>
                </c:pt>
              </c:strCache>
            </c:strRef>
          </c:cat>
          <c:val>
            <c:numRef>
              <c:f>'Sheet1 Insights'!$L$25:$L$28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AD-42BE-8D58-21F5E272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7056688"/>
        <c:axId val="1157054528"/>
      </c:barChart>
      <c:catAx>
        <c:axId val="115705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054528"/>
        <c:crosses val="autoZero"/>
        <c:auto val="1"/>
        <c:lblAlgn val="ctr"/>
        <c:lblOffset val="100"/>
        <c:noMultiLvlLbl val="0"/>
      </c:catAx>
      <c:valAx>
        <c:axId val="115705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05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by Unit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Insights'!$J$44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00AA00"/>
            </a:solidFill>
            <a:ln>
              <a:noFill/>
            </a:ln>
            <a:effectLst/>
          </c:spPr>
          <c:invertIfNegative val="0"/>
          <c:cat>
            <c:strRef>
              <c:f>'Sheet1 Insights'!$I$45:$I$48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</c:strCache>
            </c:strRef>
          </c:cat>
          <c:val>
            <c:numRef>
              <c:f>'Sheet1 Insights'!$J$45:$J$48</c:f>
              <c:numCache>
                <c:formatCode>General</c:formatCode>
                <c:ptCount val="4"/>
                <c:pt idx="0">
                  <c:v>15</c:v>
                </c:pt>
                <c:pt idx="1">
                  <c:v>13</c:v>
                </c:pt>
                <c:pt idx="2">
                  <c:v>13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4-4B9B-8C00-DC96E10D8408}"/>
            </c:ext>
          </c:extLst>
        </c:ser>
        <c:ser>
          <c:idx val="1"/>
          <c:order val="1"/>
          <c:tx>
            <c:strRef>
              <c:f>'Sheet1 Insights'!$K$44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'Sheet1 Insights'!$I$45:$I$48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</c:strCache>
            </c:strRef>
          </c:cat>
          <c:val>
            <c:numRef>
              <c:f>'Sheet1 Insights'!$K$45:$K$48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94-4B9B-8C00-DC96E10D8408}"/>
            </c:ext>
          </c:extLst>
        </c:ser>
        <c:ser>
          <c:idx val="2"/>
          <c:order val="2"/>
          <c:tx>
            <c:strRef>
              <c:f>'Sheet1 Insights'!$L$44</c:f>
              <c:strCache>
                <c:ptCount val="1"/>
                <c:pt idx="0">
                  <c:v>Damage</c:v>
                </c:pt>
              </c:strCache>
            </c:strRef>
          </c:tx>
          <c:spPr>
            <a:solidFill>
              <a:srgbClr val="FF8C00"/>
            </a:solidFill>
            <a:ln>
              <a:noFill/>
            </a:ln>
            <a:effectLst/>
          </c:spPr>
          <c:invertIfNegative val="0"/>
          <c:cat>
            <c:strRef>
              <c:f>'Sheet1 Insights'!$I$45:$I$48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</c:strCache>
            </c:strRef>
          </c:cat>
          <c:val>
            <c:numRef>
              <c:f>'Sheet1 Insights'!$L$45:$L$48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94-4B9B-8C00-DC96E10D8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462600"/>
        <c:axId val="1110463680"/>
      </c:barChart>
      <c:catAx>
        <c:axId val="111046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63680"/>
        <c:crosses val="autoZero"/>
        <c:auto val="1"/>
        <c:lblAlgn val="ctr"/>
        <c:lblOffset val="100"/>
        <c:noMultiLvlLbl val="0"/>
      </c:catAx>
      <c:valAx>
        <c:axId val="111046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6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Pass Rate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 Insights'!$Q$4</c:f>
              <c:strCache>
                <c:ptCount val="1"/>
                <c:pt idx="0">
                  <c:v>Pass Rate</c:v>
                </c:pt>
              </c:strCache>
            </c:strRef>
          </c:tx>
          <c:spPr>
            <a:ln w="28575" cap="rnd">
              <a:solidFill>
                <a:srgbClr val="0066CC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'Sheet1 Insights'!$P$5:$P$8</c:f>
              <c:strCache>
                <c:ptCount val="4"/>
                <c:pt idx="0">
                  <c:v>WW13</c:v>
                </c:pt>
                <c:pt idx="1">
                  <c:v>WW14</c:v>
                </c:pt>
                <c:pt idx="2">
                  <c:v>WW15</c:v>
                </c:pt>
                <c:pt idx="3">
                  <c:v>WW16</c:v>
                </c:pt>
              </c:strCache>
            </c:strRef>
          </c:cat>
          <c:val>
            <c:numRef>
              <c:f>'Sheet1 Insights'!$Q$5:$Q$8</c:f>
              <c:numCache>
                <c:formatCode>0.0%</c:formatCode>
                <c:ptCount val="4"/>
                <c:pt idx="0">
                  <c:v>0.5625</c:v>
                </c:pt>
                <c:pt idx="1">
                  <c:v>0.54169999999999996</c:v>
                </c:pt>
                <c:pt idx="2">
                  <c:v>0.875</c:v>
                </c:pt>
                <c:pt idx="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2-49F0-B717-18252CEE4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721712"/>
        <c:axId val="987671808"/>
      </c:lineChart>
      <c:catAx>
        <c:axId val="69072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671808"/>
        <c:crosses val="autoZero"/>
        <c:auto val="1"/>
        <c:lblAlgn val="ctr"/>
        <c:lblOffset val="100"/>
        <c:noMultiLvlLbl val="0"/>
      </c:catAx>
      <c:valAx>
        <c:axId val="98767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72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 Pass Rate vs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Insights'!$Q$24</c:f>
              <c:strCache>
                <c:ptCount val="1"/>
                <c:pt idx="0">
                  <c:v>Pass Rate</c:v>
                </c:pt>
              </c:strCache>
            </c:strRef>
          </c:tx>
          <c:spPr>
            <a:solidFill>
              <a:srgbClr val="00AA00"/>
            </a:solidFill>
            <a:ln>
              <a:noFill/>
            </a:ln>
            <a:effectLst/>
          </c:spPr>
          <c:invertIfNegative val="0"/>
          <c:cat>
            <c:strRef>
              <c:f>'Sheet1 Insights'!$P$25:$P$28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</c:strCache>
            </c:strRef>
          </c:cat>
          <c:val>
            <c:numRef>
              <c:f>'Sheet1 Insights'!$Q$25:$Q$28</c:f>
              <c:numCache>
                <c:formatCode>0.0%</c:formatCode>
                <c:ptCount val="4"/>
                <c:pt idx="0">
                  <c:v>0.78900000000000003</c:v>
                </c:pt>
                <c:pt idx="1">
                  <c:v>0.72199999999999998</c:v>
                </c:pt>
                <c:pt idx="2">
                  <c:v>0.68400000000000005</c:v>
                </c:pt>
                <c:pt idx="3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8-4BA4-9CAA-5D59BF7E1D29}"/>
            </c:ext>
          </c:extLst>
        </c:ser>
        <c:ser>
          <c:idx val="1"/>
          <c:order val="1"/>
          <c:tx>
            <c:strRef>
              <c:f>'Sheet1 Insights'!$R$24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'Sheet1 Insights'!$P$25:$P$28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</c:strCache>
            </c:strRef>
          </c:cat>
          <c:val>
            <c:numRef>
              <c:f>'Sheet1 Insights'!$R$25:$R$28</c:f>
              <c:numCache>
                <c:formatCode>0.0%</c:formatCode>
                <c:ptCount val="4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8-4BA4-9CAA-5D59BF7E1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091896"/>
        <c:axId val="960094416"/>
      </c:barChart>
      <c:catAx>
        <c:axId val="960091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094416"/>
        <c:crosses val="autoZero"/>
        <c:auto val="1"/>
        <c:lblAlgn val="ctr"/>
        <c:lblOffset val="100"/>
        <c:noMultiLvlLbl val="0"/>
      </c:catAx>
      <c:valAx>
        <c:axId val="96009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09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Failure Mode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'Sheet1 Insights'!$Q$44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62-4607-BD8C-FC92143D5C1E}"/>
              </c:ext>
            </c:extLst>
          </c:dPt>
          <c:dPt>
            <c:idx val="1"/>
            <c:bubble3D val="0"/>
            <c:spPr>
              <a:solidFill>
                <a:srgbClr val="FF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D62-4607-BD8C-FC92143D5C1E}"/>
              </c:ext>
            </c:extLst>
          </c:dPt>
          <c:dPt>
            <c:idx val="2"/>
            <c:bubble3D val="0"/>
            <c:spPr>
              <a:solidFill>
                <a:srgbClr val="FFD7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62-4607-BD8C-FC92143D5C1E}"/>
              </c:ext>
            </c:extLst>
          </c:dPt>
          <c:cat>
            <c:strRef>
              <c:f>'Sheet1 Insights'!$P$45:$P$47</c:f>
              <c:strCache>
                <c:ptCount val="3"/>
                <c:pt idx="0">
                  <c:v>VDDQc Lamped Error</c:v>
                </c:pt>
                <c:pt idx="1">
                  <c:v>HSRT Test Failure</c:v>
                </c:pt>
                <c:pt idx="2">
                  <c:v>Other Failures</c:v>
                </c:pt>
              </c:strCache>
            </c:strRef>
          </c:cat>
          <c:val>
            <c:numRef>
              <c:f>'Sheet1 Insights'!$Q$45:$Q$47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2-4607-BD8C-FC92143D5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190499</xdr:colOff>
      <xdr:row>2</xdr:row>
      <xdr:rowOff>111794</xdr:rowOff>
    </xdr:from>
    <xdr:to>
      <xdr:col>12</xdr:col>
      <xdr:colOff>1243445</xdr:colOff>
      <xdr:row>26</xdr:row>
      <xdr:rowOff>113175</xdr:rowOff>
    </xdr:to>
    <xdr:pic>
      <xdr:nvPicPr>
        <xdr:cNvPr id="2" name="DashboardChart">
          <a:extLst>
            <a:ext uri="{FF2B5EF4-FFF2-40B4-BE49-F238E27FC236}">
              <a16:creationId xmlns:a16="http://schemas.microsoft.com/office/drawing/2014/main" id="{6CFE5D8D-ABF6-CE89-18DD-3D99E4871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3272" y="614021"/>
          <a:ext cx="6560127" cy="4937062"/>
        </a:xfrm>
        <a:prstGeom prst="rect">
          <a:avLst/>
        </a:prstGeom>
      </xdr:spPr>
    </xdr:pic>
    <xdr:clientData/>
  </xdr:twoCellAnchor>
  <xdr:twoCellAnchor editAs="oneCell">
    <xdr:from>
      <xdr:col>8</xdr:col>
      <xdr:colOff>917687</xdr:colOff>
      <xdr:row>39</xdr:row>
      <xdr:rowOff>49357</xdr:rowOff>
    </xdr:from>
    <xdr:to>
      <xdr:col>18</xdr:col>
      <xdr:colOff>21229</xdr:colOff>
      <xdr:row>58</xdr:row>
      <xdr:rowOff>69273</xdr:rowOff>
    </xdr:to>
    <xdr:pic>
      <xdr:nvPicPr>
        <xdr:cNvPr id="3" name="HeatmapChart">
          <a:extLst>
            <a:ext uri="{FF2B5EF4-FFF2-40B4-BE49-F238E27FC236}">
              <a16:creationId xmlns:a16="http://schemas.microsoft.com/office/drawing/2014/main" id="{F112CA63-2350-8103-9982-C27734F08E76}"/>
            </a:ext>
            <a:ext uri="{147F2762-F138-4A5C-976F-8EAC2B608ADB}">
              <a16:predDERef xmlns:a16="http://schemas.microsoft.com/office/drawing/2014/main" pred="{6CFE5D8D-ABF6-CE89-18DD-3D99E4871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66142" y="8327448"/>
          <a:ext cx="9425178" cy="40030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247650</xdr:colOff>
      <xdr:row>1</xdr:row>
      <xdr:rowOff>28575</xdr:rowOff>
    </xdr:from>
    <xdr:to>
      <xdr:col>24</xdr:col>
      <xdr:colOff>247650</xdr:colOff>
      <xdr:row>12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F605CF-38A0-C174-16F1-C0EB7EB5B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47625</xdr:colOff>
      <xdr:row>12</xdr:row>
      <xdr:rowOff>133350</xdr:rowOff>
    </xdr:from>
    <xdr:to>
      <xdr:col>24</xdr:col>
      <xdr:colOff>47625</xdr:colOff>
      <xdr:row>26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5EBCB2-D9FA-C173-8948-339BA73FC131}"/>
            </a:ext>
            <a:ext uri="{147F2762-F138-4A5C-976F-8EAC2B608ADB}">
              <a16:predDERef xmlns:a16="http://schemas.microsoft.com/office/drawing/2014/main" pred="{DCF605CF-38A0-C174-16F1-C0EB7EB5B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9525</xdr:colOff>
      <xdr:row>28</xdr:row>
      <xdr:rowOff>57150</xdr:rowOff>
    </xdr:from>
    <xdr:to>
      <xdr:col>24</xdr:col>
      <xdr:colOff>9525</xdr:colOff>
      <xdr:row>43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0AC2FC-0C0F-D93C-28AB-D3AA5F07C84E}"/>
            </a:ext>
            <a:ext uri="{147F2762-F138-4A5C-976F-8EAC2B608ADB}">
              <a16:predDERef xmlns:a16="http://schemas.microsoft.com/office/drawing/2014/main" pred="{225EBCB2-D9FA-C173-8948-339BA73FC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9AEDBE-A520-9319-ABE1-9054C34D2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9AE351-EC27-8EEE-0CA3-8334A684D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49</xdr:row>
      <xdr:rowOff>0</xdr:rowOff>
    </xdr:from>
    <xdr:to>
      <xdr:col>14</xdr:col>
      <xdr:colOff>0</xdr:colOff>
      <xdr:row>62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8E8178-86EB-9113-D059-345E4C18C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8</xdr:row>
      <xdr:rowOff>76200</xdr:rowOff>
    </xdr:from>
    <xdr:to>
      <xdr:col>23</xdr:col>
      <xdr:colOff>323850</xdr:colOff>
      <xdr:row>22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7D2B95-0251-C8E1-0AF5-BE36698E853E}"/>
            </a:ext>
            <a:ext uri="{147F2762-F138-4A5C-976F-8EAC2B608ADB}">
              <a16:predDERef xmlns:a16="http://schemas.microsoft.com/office/drawing/2014/main" pred="{CB8E8178-86EB-9113-D059-345E4C18C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29</xdr:row>
      <xdr:rowOff>0</xdr:rowOff>
    </xdr:from>
    <xdr:to>
      <xdr:col>21</xdr:col>
      <xdr:colOff>0</xdr:colOff>
      <xdr:row>42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3458ED-CAB3-D971-52FD-975623780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49</xdr:row>
      <xdr:rowOff>0</xdr:rowOff>
    </xdr:from>
    <xdr:to>
      <xdr:col>21</xdr:col>
      <xdr:colOff>0</xdr:colOff>
      <xdr:row>62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A7E9B0-AC56-77A8-A498-51BF3CB58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F0ED1-DF17-4D02-9F01-696B95AB0BB1}" name="DOE_Flat" displayName="DOE_Flat" ref="A4:F156" totalsRowShown="0">
  <autoFilter ref="A4:F156" xr:uid="{677F0ED1-DF17-4D02-9F01-696B95AB0BB1}">
    <filterColumn colId="2">
      <filters>
        <filter val="SM3.5"/>
      </filters>
    </filterColumn>
  </autoFilter>
  <tableColumns count="6">
    <tableColumn id="1" xr3:uid="{49BC7418-F2DE-4510-8F41-A34A193CE970}" name="Week"/>
    <tableColumn id="2" xr3:uid="{F828A390-FB2F-43F0-B26C-77B2165A4EDD}" name="MSN"/>
    <tableColumn id="3" xr3:uid="{8BF6324B-F2F9-4AC7-9429-33E25DE8F71F}" name="Product"/>
    <tableColumn id="4" xr3:uid="{C6AD1D89-4EC0-4CB5-AA09-2B28E478C7C2}" name="Unit"/>
    <tableColumn id="5" xr3:uid="{C924DFB1-652D-456F-85C2-C75CE67222D7}" name="Status"/>
    <tableColumn id="6" xr3:uid="{30EA461D-4CD8-4F8D-90DE-AD0DD8CEE69E}" name="Remar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0"/>
  <sheetViews>
    <sheetView zoomScale="60" zoomScaleNormal="60" workbookViewId="0">
      <selection activeCell="H2" sqref="H2"/>
    </sheetView>
  </sheetViews>
  <sheetFormatPr defaultColWidth="9.140625" defaultRowHeight="15" customHeight="1"/>
  <cols>
    <col min="1" max="1" width="7.140625" bestFit="1" customWidth="1"/>
    <col min="2" max="2" width="23.28515625" customWidth="1"/>
    <col min="3" max="3" width="20.85546875" style="25" customWidth="1"/>
    <col min="4" max="4" width="29.42578125" style="1" customWidth="1"/>
    <col min="5" max="5" width="19.5703125" style="1" customWidth="1"/>
    <col min="6" max="6" width="29.42578125" style="1" customWidth="1"/>
    <col min="7" max="7" width="23.7109375" style="1" customWidth="1"/>
    <col min="8" max="8" width="26.85546875" style="1" bestFit="1" customWidth="1"/>
    <col min="9" max="9" width="25.85546875" style="1" bestFit="1" customWidth="1"/>
    <col min="10" max="10" width="31" style="1" bestFit="1" customWidth="1"/>
    <col min="11" max="11" width="30.28515625" style="1" bestFit="1" customWidth="1"/>
    <col min="12" max="12" width="19.7109375" style="49" bestFit="1" customWidth="1"/>
  </cols>
  <sheetData>
    <row r="1" spans="1:12">
      <c r="B1" s="125" t="s">
        <v>0</v>
      </c>
      <c r="C1" s="146"/>
      <c r="D1" s="125" t="s">
        <v>1</v>
      </c>
      <c r="E1" s="147"/>
      <c r="F1" s="147"/>
      <c r="G1" s="146"/>
      <c r="H1" s="125" t="s">
        <v>2</v>
      </c>
      <c r="I1" s="147"/>
      <c r="J1" s="147"/>
      <c r="K1" s="146"/>
      <c r="L1" s="27" t="s">
        <v>3</v>
      </c>
    </row>
    <row r="2" spans="1:12">
      <c r="A2" s="44" t="s">
        <v>4</v>
      </c>
      <c r="B2" s="6"/>
      <c r="C2" s="39" t="s">
        <v>5</v>
      </c>
      <c r="D2" s="5" t="s">
        <v>6</v>
      </c>
      <c r="E2" s="5" t="s">
        <v>7</v>
      </c>
      <c r="F2" s="5" t="s">
        <v>8</v>
      </c>
      <c r="G2" s="5" t="str">
        <f>_xlfn.TEXTBEFORE(D2, " ", 1) &amp; " 4"</f>
        <v>Unit 4</v>
      </c>
      <c r="H2" s="5" t="s">
        <v>6</v>
      </c>
      <c r="I2" s="5" t="s">
        <v>7</v>
      </c>
      <c r="J2" s="5" t="s">
        <v>8</v>
      </c>
      <c r="K2" s="17" t="str">
        <f>_xlfn.TEXTBEFORE(H2, " ", 1) &amp; " 4"</f>
        <v>Unit 4</v>
      </c>
      <c r="L2" s="50">
        <f>COUNTIF(H8:K8,"Pass")*25%</f>
        <v>0.75</v>
      </c>
    </row>
    <row r="3" spans="1:12">
      <c r="A3" s="44"/>
      <c r="B3" s="5" t="s">
        <v>9</v>
      </c>
      <c r="C3" s="127" t="s">
        <v>10</v>
      </c>
      <c r="D3" s="11" t="s">
        <v>11</v>
      </c>
      <c r="E3" s="11" t="s">
        <v>11</v>
      </c>
      <c r="F3" s="11" t="s">
        <v>11</v>
      </c>
      <c r="G3" s="11" t="s">
        <v>12</v>
      </c>
      <c r="H3" s="11" t="s">
        <v>11</v>
      </c>
      <c r="I3" s="11" t="s">
        <v>11</v>
      </c>
      <c r="J3" s="11" t="s">
        <v>11</v>
      </c>
      <c r="K3" s="12" t="s">
        <v>13</v>
      </c>
      <c r="L3" s="45"/>
    </row>
    <row r="4" spans="1:12">
      <c r="A4" s="44"/>
      <c r="B4" s="5" t="s">
        <v>14</v>
      </c>
      <c r="C4" s="148"/>
      <c r="D4" s="11" t="s">
        <v>11</v>
      </c>
      <c r="E4" s="11" t="s">
        <v>11</v>
      </c>
      <c r="F4" s="11" t="s">
        <v>11</v>
      </c>
      <c r="G4" s="11" t="s">
        <v>12</v>
      </c>
      <c r="H4" s="11" t="s">
        <v>11</v>
      </c>
      <c r="I4" s="11" t="s">
        <v>11</v>
      </c>
      <c r="J4" s="11" t="s">
        <v>11</v>
      </c>
      <c r="K4" s="12" t="s">
        <v>12</v>
      </c>
      <c r="L4" s="45"/>
    </row>
    <row r="5" spans="1:12">
      <c r="A5" s="44"/>
      <c r="B5" s="5" t="s">
        <v>15</v>
      </c>
      <c r="C5" s="148"/>
      <c r="D5" s="11" t="s">
        <v>11</v>
      </c>
      <c r="E5" s="11" t="s">
        <v>11</v>
      </c>
      <c r="F5" s="11" t="s">
        <v>11</v>
      </c>
      <c r="G5" s="11" t="s">
        <v>12</v>
      </c>
      <c r="H5" s="11" t="s">
        <v>11</v>
      </c>
      <c r="I5" s="11" t="s">
        <v>11</v>
      </c>
      <c r="J5" s="11" t="s">
        <v>11</v>
      </c>
      <c r="K5" s="12" t="s">
        <v>12</v>
      </c>
      <c r="L5" s="45"/>
    </row>
    <row r="6" spans="1:12">
      <c r="A6" s="44"/>
      <c r="B6" s="9" t="s">
        <v>16</v>
      </c>
      <c r="C6" s="148"/>
      <c r="D6" s="11" t="s">
        <v>11</v>
      </c>
      <c r="E6" s="11" t="s">
        <v>11</v>
      </c>
      <c r="F6" s="11" t="s">
        <v>11</v>
      </c>
      <c r="G6" s="11" t="s">
        <v>12</v>
      </c>
      <c r="H6" s="11" t="s">
        <v>11</v>
      </c>
      <c r="I6" s="11" t="s">
        <v>11</v>
      </c>
      <c r="J6" s="11" t="s">
        <v>11</v>
      </c>
      <c r="K6" s="12" t="s">
        <v>12</v>
      </c>
      <c r="L6" s="45"/>
    </row>
    <row r="7" spans="1:12">
      <c r="A7" s="44"/>
      <c r="B7" s="14" t="s">
        <v>17</v>
      </c>
      <c r="C7" s="148"/>
      <c r="D7" s="128"/>
      <c r="E7" s="149"/>
      <c r="F7" s="149"/>
      <c r="G7" s="150"/>
      <c r="H7" s="15" t="s">
        <v>11</v>
      </c>
      <c r="I7" s="15" t="s">
        <v>11</v>
      </c>
      <c r="J7" s="15" t="s">
        <v>11</v>
      </c>
      <c r="K7" s="26" t="s">
        <v>12</v>
      </c>
      <c r="L7" s="45"/>
    </row>
    <row r="8" spans="1:12">
      <c r="A8" s="44"/>
      <c r="B8" s="9" t="s">
        <v>18</v>
      </c>
      <c r="C8" s="148"/>
      <c r="D8" s="3" t="s">
        <v>11</v>
      </c>
      <c r="E8" s="3" t="s">
        <v>11</v>
      </c>
      <c r="F8" s="3" t="s">
        <v>11</v>
      </c>
      <c r="G8" s="4" t="s">
        <v>12</v>
      </c>
      <c r="H8" s="22" t="s">
        <v>11</v>
      </c>
      <c r="I8" s="22" t="s">
        <v>11</v>
      </c>
      <c r="J8" s="22" t="s">
        <v>11</v>
      </c>
      <c r="K8" s="22" t="s">
        <v>12</v>
      </c>
      <c r="L8" s="45"/>
    </row>
    <row r="9" spans="1:12">
      <c r="A9" s="44"/>
      <c r="B9" s="18" t="s">
        <v>19</v>
      </c>
      <c r="C9" s="151"/>
      <c r="D9" s="11"/>
      <c r="E9" s="11"/>
      <c r="F9" s="11"/>
      <c r="G9" s="11"/>
      <c r="H9" s="11"/>
      <c r="I9" s="11"/>
      <c r="J9" s="11"/>
      <c r="K9" s="12"/>
      <c r="L9" s="46"/>
    </row>
    <row r="10" spans="1:12">
      <c r="A10" s="7"/>
      <c r="B10" s="7"/>
      <c r="C10" s="28"/>
      <c r="D10" s="8"/>
      <c r="E10" s="8"/>
      <c r="F10" s="8"/>
      <c r="G10" s="8"/>
      <c r="H10" s="8"/>
      <c r="I10" s="8"/>
      <c r="J10" s="8"/>
      <c r="K10" s="8"/>
      <c r="L10" s="47"/>
    </row>
    <row r="11" spans="1:12">
      <c r="A11" s="44" t="s">
        <v>20</v>
      </c>
      <c r="B11" s="6"/>
      <c r="C11" s="40" t="s">
        <v>5</v>
      </c>
      <c r="D11" s="5" t="s">
        <v>6</v>
      </c>
      <c r="E11" s="5" t="s">
        <v>7</v>
      </c>
      <c r="F11" s="5" t="s">
        <v>8</v>
      </c>
      <c r="G11" s="5" t="str">
        <f>_xlfn.TEXTBEFORE(D11, " ", 1) &amp; " 4"</f>
        <v>Unit 4</v>
      </c>
      <c r="H11" s="5" t="s">
        <v>6</v>
      </c>
      <c r="I11" s="5" t="s">
        <v>7</v>
      </c>
      <c r="J11" s="5" t="s">
        <v>8</v>
      </c>
      <c r="K11" s="17" t="str">
        <f>_xlfn.TEXTBEFORE(H11, " ", 1) &amp; " 4"</f>
        <v>Unit 4</v>
      </c>
      <c r="L11" s="50">
        <f>COUNTIF(H17:K17,"Pass")*25%</f>
        <v>0.75</v>
      </c>
    </row>
    <row r="12" spans="1:12">
      <c r="A12" s="44"/>
      <c r="B12" s="5" t="s">
        <v>9</v>
      </c>
      <c r="C12" s="126" t="s">
        <v>21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1" t="s">
        <v>11</v>
      </c>
      <c r="J12" s="11" t="s">
        <v>11</v>
      </c>
      <c r="K12" s="12" t="s">
        <v>22</v>
      </c>
      <c r="L12" s="45"/>
    </row>
    <row r="13" spans="1:12">
      <c r="A13" s="44"/>
      <c r="B13" s="5" t="s">
        <v>14</v>
      </c>
      <c r="C13" s="148"/>
      <c r="D13" s="11" t="s">
        <v>11</v>
      </c>
      <c r="E13" s="11" t="s">
        <v>11</v>
      </c>
      <c r="F13" s="11" t="s">
        <v>11</v>
      </c>
      <c r="G13" s="11" t="s">
        <v>11</v>
      </c>
      <c r="H13" s="11" t="s">
        <v>11</v>
      </c>
      <c r="I13" s="11" t="s">
        <v>11</v>
      </c>
      <c r="J13" s="11" t="s">
        <v>11</v>
      </c>
      <c r="K13" s="12" t="s">
        <v>22</v>
      </c>
      <c r="L13" s="45"/>
    </row>
    <row r="14" spans="1:12">
      <c r="A14" s="44"/>
      <c r="B14" s="5" t="s">
        <v>15</v>
      </c>
      <c r="C14" s="148"/>
      <c r="D14" s="11" t="s">
        <v>11</v>
      </c>
      <c r="E14" s="11" t="s">
        <v>11</v>
      </c>
      <c r="F14" s="11" t="s">
        <v>11</v>
      </c>
      <c r="G14" s="11" t="s">
        <v>11</v>
      </c>
      <c r="H14" s="11" t="s">
        <v>11</v>
      </c>
      <c r="I14" s="11" t="s">
        <v>11</v>
      </c>
      <c r="J14" s="11" t="s">
        <v>11</v>
      </c>
      <c r="K14" s="12" t="s">
        <v>22</v>
      </c>
      <c r="L14" s="45"/>
    </row>
    <row r="15" spans="1:12">
      <c r="A15" s="44"/>
      <c r="B15" s="9" t="s">
        <v>16</v>
      </c>
      <c r="C15" s="148"/>
      <c r="D15" s="15" t="s">
        <v>11</v>
      </c>
      <c r="E15" s="15" t="s">
        <v>11</v>
      </c>
      <c r="F15" s="15" t="s">
        <v>11</v>
      </c>
      <c r="G15" s="15" t="s">
        <v>22</v>
      </c>
      <c r="H15" s="11" t="s">
        <v>11</v>
      </c>
      <c r="I15" s="11" t="s">
        <v>11</v>
      </c>
      <c r="J15" s="11" t="s">
        <v>11</v>
      </c>
      <c r="K15" s="12" t="s">
        <v>22</v>
      </c>
      <c r="L15" s="45"/>
    </row>
    <row r="16" spans="1:12">
      <c r="A16" s="44"/>
      <c r="B16" s="9" t="s">
        <v>17</v>
      </c>
      <c r="C16" s="148"/>
      <c r="D16" s="128"/>
      <c r="E16" s="149"/>
      <c r="F16" s="149"/>
      <c r="G16" s="150"/>
      <c r="H16" s="11" t="s">
        <v>11</v>
      </c>
      <c r="I16" s="11" t="s">
        <v>11</v>
      </c>
      <c r="J16" s="11" t="s">
        <v>22</v>
      </c>
      <c r="K16" s="26" t="s">
        <v>22</v>
      </c>
      <c r="L16" s="45"/>
    </row>
    <row r="17" spans="1:12">
      <c r="A17" s="44"/>
      <c r="B17" s="9" t="s">
        <v>18</v>
      </c>
      <c r="C17" s="148"/>
      <c r="D17" s="13" t="s">
        <v>11</v>
      </c>
      <c r="E17" s="13" t="s">
        <v>11</v>
      </c>
      <c r="F17" s="13" t="s">
        <v>11</v>
      </c>
      <c r="G17" s="10" t="s">
        <v>22</v>
      </c>
      <c r="H17" s="22" t="s">
        <v>11</v>
      </c>
      <c r="I17" s="22" t="s">
        <v>11</v>
      </c>
      <c r="J17" s="22" t="s">
        <v>11</v>
      </c>
      <c r="K17" s="22" t="s">
        <v>22</v>
      </c>
      <c r="L17" s="45"/>
    </row>
    <row r="18" spans="1:12">
      <c r="A18" s="44"/>
      <c r="B18" s="18" t="s">
        <v>19</v>
      </c>
      <c r="C18" s="148"/>
      <c r="D18" s="23"/>
      <c r="E18" s="23"/>
      <c r="F18" s="23"/>
      <c r="G18" s="23" t="s">
        <v>23</v>
      </c>
      <c r="H18" s="11"/>
      <c r="I18" s="11"/>
      <c r="J18" s="15" t="s">
        <v>24</v>
      </c>
      <c r="K18" s="23" t="s">
        <v>23</v>
      </c>
      <c r="L18" s="46"/>
    </row>
    <row r="19" spans="1:12">
      <c r="A19" s="7"/>
      <c r="B19" s="7"/>
      <c r="C19" s="28"/>
      <c r="D19" s="8"/>
      <c r="E19" s="8"/>
      <c r="F19" s="8"/>
      <c r="G19" s="8"/>
      <c r="H19" s="8"/>
      <c r="I19" s="8"/>
      <c r="J19" s="8"/>
      <c r="K19" s="8"/>
      <c r="L19" s="47"/>
    </row>
    <row r="20" spans="1:12">
      <c r="A20" s="44" t="s">
        <v>20</v>
      </c>
      <c r="B20" s="6"/>
      <c r="C20" s="39" t="s">
        <v>5</v>
      </c>
      <c r="D20" s="5" t="s">
        <v>6</v>
      </c>
      <c r="E20" s="5" t="s">
        <v>7</v>
      </c>
      <c r="F20" s="5" t="s">
        <v>25</v>
      </c>
      <c r="G20" s="5" t="s">
        <v>26</v>
      </c>
      <c r="H20" s="5" t="s">
        <v>6</v>
      </c>
      <c r="I20" s="5" t="s">
        <v>7</v>
      </c>
      <c r="J20" s="5" t="s">
        <v>25</v>
      </c>
      <c r="K20" s="5" t="s">
        <v>26</v>
      </c>
      <c r="L20" s="50">
        <f>COUNTIF(H26:K26,"Pass")*25%</f>
        <v>0.75</v>
      </c>
    </row>
    <row r="21" spans="1:12">
      <c r="A21" s="44"/>
      <c r="B21" s="5" t="s">
        <v>9</v>
      </c>
      <c r="C21" s="126" t="s">
        <v>27</v>
      </c>
      <c r="D21" s="11" t="s">
        <v>11</v>
      </c>
      <c r="E21" s="11" t="s">
        <v>11</v>
      </c>
      <c r="F21" s="11" t="s">
        <v>11</v>
      </c>
      <c r="G21" s="22" t="s">
        <v>12</v>
      </c>
      <c r="H21" s="11" t="s">
        <v>11</v>
      </c>
      <c r="I21" s="11" t="s">
        <v>11</v>
      </c>
      <c r="J21" s="11" t="s">
        <v>11</v>
      </c>
      <c r="K21" s="22" t="s">
        <v>12</v>
      </c>
      <c r="L21" s="45"/>
    </row>
    <row r="22" spans="1:12">
      <c r="A22" s="44"/>
      <c r="B22" s="5" t="s">
        <v>14</v>
      </c>
      <c r="C22" s="148"/>
      <c r="D22" s="11" t="s">
        <v>11</v>
      </c>
      <c r="E22" s="11" t="s">
        <v>11</v>
      </c>
      <c r="F22" s="11" t="s">
        <v>11</v>
      </c>
      <c r="G22" s="22" t="s">
        <v>12</v>
      </c>
      <c r="H22" s="11" t="s">
        <v>11</v>
      </c>
      <c r="I22" s="11" t="s">
        <v>11</v>
      </c>
      <c r="J22" s="11" t="s">
        <v>11</v>
      </c>
      <c r="K22" s="22" t="s">
        <v>12</v>
      </c>
      <c r="L22" s="45"/>
    </row>
    <row r="23" spans="1:12">
      <c r="A23" s="44"/>
      <c r="B23" s="5" t="s">
        <v>15</v>
      </c>
      <c r="C23" s="148"/>
      <c r="D23" s="11" t="s">
        <v>11</v>
      </c>
      <c r="E23" s="11" t="s">
        <v>11</v>
      </c>
      <c r="F23" s="11" t="s">
        <v>11</v>
      </c>
      <c r="G23" s="22" t="s">
        <v>12</v>
      </c>
      <c r="H23" s="11" t="s">
        <v>11</v>
      </c>
      <c r="I23" s="11" t="s">
        <v>11</v>
      </c>
      <c r="J23" s="11" t="s">
        <v>11</v>
      </c>
      <c r="K23" s="22" t="s">
        <v>12</v>
      </c>
      <c r="L23" s="45"/>
    </row>
    <row r="24" spans="1:12">
      <c r="A24" s="44"/>
      <c r="B24" s="9" t="s">
        <v>16</v>
      </c>
      <c r="C24" s="148"/>
      <c r="D24" s="11" t="s">
        <v>11</v>
      </c>
      <c r="E24" s="11" t="s">
        <v>11</v>
      </c>
      <c r="F24" s="11" t="s">
        <v>11</v>
      </c>
      <c r="G24" s="22" t="s">
        <v>12</v>
      </c>
      <c r="H24" s="11" t="s">
        <v>11</v>
      </c>
      <c r="I24" s="11" t="s">
        <v>11</v>
      </c>
      <c r="J24" s="11" t="s">
        <v>11</v>
      </c>
      <c r="K24" s="22" t="s">
        <v>12</v>
      </c>
      <c r="L24" s="45"/>
    </row>
    <row r="25" spans="1:12">
      <c r="A25" s="44"/>
      <c r="B25" s="9" t="s">
        <v>17</v>
      </c>
      <c r="C25" s="148"/>
      <c r="D25" s="66"/>
      <c r="E25" s="67"/>
      <c r="F25" s="67"/>
      <c r="G25" s="65"/>
      <c r="H25" s="15" t="s">
        <v>11</v>
      </c>
      <c r="I25" s="15" t="s">
        <v>11</v>
      </c>
      <c r="J25" s="15" t="s">
        <v>11</v>
      </c>
      <c r="K25" s="22" t="s">
        <v>12</v>
      </c>
      <c r="L25" s="45"/>
    </row>
    <row r="26" spans="1:12">
      <c r="A26" s="44"/>
      <c r="B26" s="9" t="s">
        <v>18</v>
      </c>
      <c r="C26" s="148"/>
      <c r="D26" s="13" t="s">
        <v>11</v>
      </c>
      <c r="E26" s="13" t="s">
        <v>11</v>
      </c>
      <c r="F26" s="13" t="s">
        <v>11</v>
      </c>
      <c r="G26" s="22" t="s">
        <v>12</v>
      </c>
      <c r="H26" s="22" t="s">
        <v>11</v>
      </c>
      <c r="I26" s="22" t="s">
        <v>11</v>
      </c>
      <c r="J26" s="22" t="s">
        <v>11</v>
      </c>
      <c r="K26" s="22" t="s">
        <v>12</v>
      </c>
      <c r="L26" s="45"/>
    </row>
    <row r="27" spans="1:12">
      <c r="A27" s="44"/>
      <c r="B27" s="18" t="s">
        <v>19</v>
      </c>
      <c r="C27" s="148"/>
      <c r="G27" s="11"/>
      <c r="H27" s="11"/>
      <c r="L27" s="46"/>
    </row>
    <row r="28" spans="1:12">
      <c r="A28" s="7"/>
      <c r="B28" s="7"/>
      <c r="C28" s="28"/>
      <c r="D28" s="8"/>
      <c r="E28" s="8"/>
      <c r="F28" s="8"/>
      <c r="G28" s="8"/>
      <c r="H28" s="8"/>
      <c r="I28" s="8"/>
      <c r="J28" s="8"/>
      <c r="K28" s="8"/>
      <c r="L28" s="47"/>
    </row>
    <row r="29" spans="1:12">
      <c r="A29" s="44" t="s">
        <v>4</v>
      </c>
      <c r="B29" s="16"/>
      <c r="C29" s="39" t="s">
        <v>5</v>
      </c>
      <c r="D29" s="20" t="s">
        <v>6</v>
      </c>
      <c r="E29" s="5" t="s">
        <v>7</v>
      </c>
      <c r="F29" s="5" t="s">
        <v>8</v>
      </c>
      <c r="G29" s="5" t="str">
        <f>_xlfn.TEXTBEFORE(D29, " ", 1) &amp; " 4"</f>
        <v>Unit 4</v>
      </c>
      <c r="H29" s="5" t="s">
        <v>6</v>
      </c>
      <c r="I29" s="5" t="s">
        <v>7</v>
      </c>
      <c r="J29" s="5" t="s">
        <v>8</v>
      </c>
      <c r="K29" s="5" t="str">
        <f>_xlfn.TEXTBEFORE(H29, " ", 1) &amp; " 4"</f>
        <v>Unit 4</v>
      </c>
      <c r="L29" s="50">
        <f>COUNTIF(H35:K35,"Pass")*25%</f>
        <v>0</v>
      </c>
    </row>
    <row r="30" spans="1:12">
      <c r="A30" s="44"/>
      <c r="B30" s="17" t="s">
        <v>9</v>
      </c>
      <c r="C30" s="129" t="s">
        <v>28</v>
      </c>
      <c r="D30" s="22" t="s">
        <v>12</v>
      </c>
      <c r="E30" s="11" t="s">
        <v>11</v>
      </c>
      <c r="F30" s="11" t="s">
        <v>22</v>
      </c>
      <c r="G30" s="11" t="s">
        <v>11</v>
      </c>
      <c r="H30" s="22" t="s">
        <v>12</v>
      </c>
      <c r="I30" s="11" t="s">
        <v>22</v>
      </c>
      <c r="J30" s="11" t="s">
        <v>22</v>
      </c>
      <c r="K30" s="11" t="s">
        <v>22</v>
      </c>
      <c r="L30" s="45"/>
    </row>
    <row r="31" spans="1:12">
      <c r="A31" s="44"/>
      <c r="B31" s="17" t="s">
        <v>14</v>
      </c>
      <c r="C31" s="152"/>
      <c r="D31" s="22" t="s">
        <v>12</v>
      </c>
      <c r="E31" s="11" t="s">
        <v>11</v>
      </c>
      <c r="F31" s="11" t="s">
        <v>11</v>
      </c>
      <c r="G31" s="11" t="s">
        <v>11</v>
      </c>
      <c r="H31" s="22" t="s">
        <v>12</v>
      </c>
      <c r="I31" s="11" t="s">
        <v>22</v>
      </c>
      <c r="J31" s="11" t="s">
        <v>22</v>
      </c>
      <c r="K31" s="11" t="s">
        <v>22</v>
      </c>
      <c r="L31" s="45"/>
    </row>
    <row r="32" spans="1:12">
      <c r="A32" s="44"/>
      <c r="B32" s="17" t="s">
        <v>15</v>
      </c>
      <c r="C32" s="152"/>
      <c r="D32" s="22" t="s">
        <v>12</v>
      </c>
      <c r="E32" s="11" t="s">
        <v>11</v>
      </c>
      <c r="F32" s="11" t="s">
        <v>22</v>
      </c>
      <c r="G32" s="11" t="s">
        <v>11</v>
      </c>
      <c r="H32" s="22" t="s">
        <v>12</v>
      </c>
      <c r="I32" s="11" t="s">
        <v>22</v>
      </c>
      <c r="J32" s="11" t="s">
        <v>22</v>
      </c>
      <c r="K32" s="11" t="s">
        <v>22</v>
      </c>
      <c r="L32" s="45"/>
    </row>
    <row r="33" spans="1:18">
      <c r="A33" s="44"/>
      <c r="B33" s="18" t="s">
        <v>16</v>
      </c>
      <c r="C33" s="152"/>
      <c r="D33" s="22" t="s">
        <v>12</v>
      </c>
      <c r="E33" s="11" t="s">
        <v>22</v>
      </c>
      <c r="F33" s="11" t="s">
        <v>11</v>
      </c>
      <c r="G33" s="11" t="s">
        <v>22</v>
      </c>
      <c r="H33" s="22" t="s">
        <v>12</v>
      </c>
      <c r="I33" s="11" t="s">
        <v>22</v>
      </c>
      <c r="J33" s="11" t="s">
        <v>22</v>
      </c>
      <c r="K33" s="11" t="s">
        <v>22</v>
      </c>
      <c r="L33" s="45"/>
    </row>
    <row r="34" spans="1:18">
      <c r="A34" s="44"/>
      <c r="B34" s="19" t="s">
        <v>17</v>
      </c>
      <c r="C34" s="152"/>
      <c r="D34" s="128"/>
      <c r="E34" s="149"/>
      <c r="F34" s="149"/>
      <c r="G34" s="150"/>
      <c r="H34" s="22" t="s">
        <v>12</v>
      </c>
      <c r="I34" s="11" t="s">
        <v>22</v>
      </c>
      <c r="J34" s="11" t="s">
        <v>22</v>
      </c>
      <c r="K34" s="11" t="s">
        <v>22</v>
      </c>
      <c r="L34" s="45"/>
    </row>
    <row r="35" spans="1:18">
      <c r="A35" s="44"/>
      <c r="B35" s="9" t="s">
        <v>18</v>
      </c>
      <c r="C35" s="152"/>
      <c r="D35" s="21" t="s">
        <v>12</v>
      </c>
      <c r="E35" s="10" t="s">
        <v>22</v>
      </c>
      <c r="F35" s="10" t="s">
        <v>22</v>
      </c>
      <c r="G35" s="10" t="s">
        <v>22</v>
      </c>
      <c r="H35" s="22" t="s">
        <v>12</v>
      </c>
      <c r="I35" s="22" t="s">
        <v>22</v>
      </c>
      <c r="J35" s="22" t="s">
        <v>22</v>
      </c>
      <c r="K35" s="22" t="s">
        <v>22</v>
      </c>
      <c r="L35" s="45"/>
      <c r="R35" s="33"/>
    </row>
    <row r="36" spans="1:18">
      <c r="A36" s="44"/>
      <c r="B36" s="18" t="s">
        <v>19</v>
      </c>
      <c r="C36" s="153"/>
      <c r="D36" s="24"/>
      <c r="E36" s="11" t="s">
        <v>23</v>
      </c>
      <c r="F36" s="11" t="s">
        <v>23</v>
      </c>
      <c r="G36" s="42" t="s">
        <v>23</v>
      </c>
      <c r="H36" s="2"/>
      <c r="I36" s="11" t="s">
        <v>23</v>
      </c>
      <c r="J36" s="11" t="s">
        <v>23</v>
      </c>
      <c r="K36" s="42" t="s">
        <v>23</v>
      </c>
      <c r="L36" s="46"/>
    </row>
    <row r="37" spans="1:18">
      <c r="A37" s="7"/>
      <c r="B37" s="7"/>
      <c r="C37" s="28"/>
      <c r="D37" s="8"/>
      <c r="E37" s="8"/>
      <c r="F37" s="8"/>
      <c r="G37" s="8"/>
      <c r="H37" s="8"/>
      <c r="I37" s="8"/>
      <c r="J37" s="8"/>
      <c r="K37" s="8"/>
      <c r="L37" s="47"/>
    </row>
    <row r="38" spans="1:18">
      <c r="A38" s="44" t="s">
        <v>29</v>
      </c>
      <c r="B38" s="16"/>
      <c r="C38" s="39" t="s">
        <v>5</v>
      </c>
      <c r="D38" s="20" t="s">
        <v>6</v>
      </c>
      <c r="E38" s="5" t="s">
        <v>7</v>
      </c>
      <c r="F38" s="5" t="s">
        <v>8</v>
      </c>
      <c r="G38" s="5" t="str">
        <f>_xlfn.TEXTBEFORE(D38, " ", 1) &amp; " 4"</f>
        <v>Unit 4</v>
      </c>
      <c r="H38" s="5" t="s">
        <v>6</v>
      </c>
      <c r="I38" s="5" t="s">
        <v>7</v>
      </c>
      <c r="J38" s="5" t="s">
        <v>8</v>
      </c>
      <c r="K38" s="5" t="str">
        <f>_xlfn.TEXTBEFORE(H38, " ", 1) &amp; " 4"</f>
        <v>Unit 4</v>
      </c>
      <c r="L38" s="50">
        <f>COUNTIF(H44:K44,"Pass")*25%</f>
        <v>0.5</v>
      </c>
    </row>
    <row r="39" spans="1:18">
      <c r="A39" s="44"/>
      <c r="B39" s="17" t="s">
        <v>9</v>
      </c>
      <c r="C39" s="131" t="s">
        <v>30</v>
      </c>
      <c r="D39" s="22" t="s">
        <v>11</v>
      </c>
      <c r="E39" s="22" t="s">
        <v>11</v>
      </c>
      <c r="F39" s="22" t="s">
        <v>12</v>
      </c>
      <c r="G39" s="22" t="s">
        <v>12</v>
      </c>
      <c r="H39" s="22" t="s">
        <v>11</v>
      </c>
      <c r="I39" s="22" t="s">
        <v>11</v>
      </c>
      <c r="J39" s="22" t="s">
        <v>12</v>
      </c>
      <c r="K39" s="22" t="s">
        <v>12</v>
      </c>
      <c r="L39" s="45"/>
    </row>
    <row r="40" spans="1:18">
      <c r="A40" s="44"/>
      <c r="B40" s="17" t="s">
        <v>14</v>
      </c>
      <c r="C40" s="152"/>
      <c r="D40" s="22" t="s">
        <v>11</v>
      </c>
      <c r="E40" s="22" t="s">
        <v>11</v>
      </c>
      <c r="F40" s="22" t="s">
        <v>12</v>
      </c>
      <c r="G40" s="22" t="s">
        <v>12</v>
      </c>
      <c r="H40" s="22" t="s">
        <v>11</v>
      </c>
      <c r="I40" s="22" t="s">
        <v>11</v>
      </c>
      <c r="J40" s="22" t="s">
        <v>12</v>
      </c>
      <c r="K40" s="22" t="s">
        <v>12</v>
      </c>
      <c r="L40" s="45"/>
    </row>
    <row r="41" spans="1:18">
      <c r="A41" s="44"/>
      <c r="B41" s="17" t="s">
        <v>15</v>
      </c>
      <c r="C41" s="152"/>
      <c r="D41" s="22" t="s">
        <v>11</v>
      </c>
      <c r="E41" s="22" t="s">
        <v>11</v>
      </c>
      <c r="F41" s="22" t="s">
        <v>12</v>
      </c>
      <c r="G41" s="22" t="s">
        <v>12</v>
      </c>
      <c r="H41" s="22" t="s">
        <v>11</v>
      </c>
      <c r="I41" s="22" t="s">
        <v>11</v>
      </c>
      <c r="J41" s="22" t="s">
        <v>12</v>
      </c>
      <c r="K41" s="22" t="s">
        <v>12</v>
      </c>
      <c r="L41" s="45"/>
    </row>
    <row r="42" spans="1:18">
      <c r="A42" s="44"/>
      <c r="B42" s="18" t="s">
        <v>16</v>
      </c>
      <c r="C42" s="152"/>
      <c r="D42" s="22" t="s">
        <v>11</v>
      </c>
      <c r="E42" s="22" t="s">
        <v>11</v>
      </c>
      <c r="F42" s="22" t="s">
        <v>12</v>
      </c>
      <c r="G42" s="22" t="s">
        <v>12</v>
      </c>
      <c r="H42" s="22" t="s">
        <v>11</v>
      </c>
      <c r="I42" s="22" t="s">
        <v>11</v>
      </c>
      <c r="J42" s="22" t="s">
        <v>12</v>
      </c>
      <c r="K42" s="22" t="s">
        <v>12</v>
      </c>
      <c r="L42" s="45"/>
    </row>
    <row r="43" spans="1:18">
      <c r="A43" s="44"/>
      <c r="B43" s="19" t="s">
        <v>17</v>
      </c>
      <c r="C43" s="152"/>
      <c r="D43" s="128"/>
      <c r="E43" s="149"/>
      <c r="F43" s="149"/>
      <c r="G43" s="150"/>
      <c r="H43" s="22" t="s">
        <v>11</v>
      </c>
      <c r="I43" s="22" t="s">
        <v>11</v>
      </c>
      <c r="J43" s="22" t="s">
        <v>12</v>
      </c>
      <c r="K43" s="22" t="s">
        <v>12</v>
      </c>
      <c r="L43" s="45"/>
    </row>
    <row r="44" spans="1:18">
      <c r="A44" s="44"/>
      <c r="B44" s="9" t="s">
        <v>18</v>
      </c>
      <c r="C44" s="152"/>
      <c r="D44" s="22" t="s">
        <v>11</v>
      </c>
      <c r="E44" s="22" t="s">
        <v>11</v>
      </c>
      <c r="F44" s="22" t="s">
        <v>12</v>
      </c>
      <c r="G44" s="22" t="s">
        <v>12</v>
      </c>
      <c r="H44" s="22" t="s">
        <v>11</v>
      </c>
      <c r="I44" s="22" t="s">
        <v>11</v>
      </c>
      <c r="J44" s="21" t="s">
        <v>12</v>
      </c>
      <c r="K44" s="21" t="s">
        <v>12</v>
      </c>
      <c r="L44" s="45"/>
    </row>
    <row r="45" spans="1:18">
      <c r="A45" s="44"/>
      <c r="B45" s="18" t="s">
        <v>19</v>
      </c>
      <c r="C45" s="153"/>
      <c r="D45" s="22"/>
      <c r="E45" s="22"/>
      <c r="F45" s="29"/>
      <c r="G45" s="29"/>
      <c r="H45" s="22"/>
      <c r="I45" s="22"/>
      <c r="J45" s="29"/>
      <c r="K45" s="29"/>
      <c r="L45" s="46"/>
    </row>
    <row r="46" spans="1:18">
      <c r="A46" s="7"/>
      <c r="B46" s="7"/>
      <c r="C46" s="28"/>
      <c r="D46" s="8"/>
      <c r="E46" s="8"/>
      <c r="F46" s="8"/>
      <c r="G46" s="8"/>
      <c r="H46" s="8"/>
      <c r="I46" s="8"/>
      <c r="J46" s="8"/>
      <c r="K46" s="8"/>
      <c r="L46" s="47"/>
    </row>
    <row r="47" spans="1:18">
      <c r="A47" s="44" t="s">
        <v>29</v>
      </c>
      <c r="B47" s="16"/>
      <c r="C47" s="41" t="s">
        <v>5</v>
      </c>
      <c r="D47" s="20" t="s">
        <v>6</v>
      </c>
      <c r="E47" s="5" t="s">
        <v>7</v>
      </c>
      <c r="F47" s="5" t="s">
        <v>8</v>
      </c>
      <c r="G47" s="5" t="str">
        <f>_xlfn.TEXTBEFORE(D47, " ", 1) &amp; " 4"</f>
        <v>Unit 4</v>
      </c>
      <c r="H47" s="5" t="s">
        <v>6</v>
      </c>
      <c r="I47" s="5" t="s">
        <v>7</v>
      </c>
      <c r="J47" s="5" t="s">
        <v>8</v>
      </c>
      <c r="K47" s="5" t="str">
        <f>_xlfn.TEXTBEFORE(H47, " ", 1) &amp; " 4"</f>
        <v>Unit 4</v>
      </c>
      <c r="L47" s="50">
        <f>COUNTIF(H53:K53,"Pass")*25%</f>
        <v>0.75</v>
      </c>
    </row>
    <row r="48" spans="1:18">
      <c r="A48" s="44"/>
      <c r="B48" s="17" t="s">
        <v>9</v>
      </c>
      <c r="C48" s="130" t="s">
        <v>31</v>
      </c>
      <c r="D48" s="11" t="s">
        <v>11</v>
      </c>
      <c r="E48" s="11" t="s">
        <v>11</v>
      </c>
      <c r="F48" s="22" t="s">
        <v>12</v>
      </c>
      <c r="G48" s="11" t="s">
        <v>11</v>
      </c>
      <c r="H48" s="22" t="s">
        <v>11</v>
      </c>
      <c r="I48" s="22" t="s">
        <v>11</v>
      </c>
      <c r="J48" s="22" t="s">
        <v>12</v>
      </c>
      <c r="K48" s="22" t="s">
        <v>11</v>
      </c>
      <c r="L48" s="45"/>
    </row>
    <row r="49" spans="1:19">
      <c r="A49" s="44"/>
      <c r="B49" s="17" t="s">
        <v>14</v>
      </c>
      <c r="C49" s="148"/>
      <c r="D49" s="11" t="s">
        <v>11</v>
      </c>
      <c r="E49" s="11" t="s">
        <v>11</v>
      </c>
      <c r="F49" s="22" t="s">
        <v>12</v>
      </c>
      <c r="G49" s="11" t="s">
        <v>11</v>
      </c>
      <c r="H49" s="22" t="s">
        <v>11</v>
      </c>
      <c r="I49" s="22" t="s">
        <v>11</v>
      </c>
      <c r="J49" s="22" t="s">
        <v>12</v>
      </c>
      <c r="K49" s="22" t="s">
        <v>11</v>
      </c>
      <c r="L49" s="45"/>
    </row>
    <row r="50" spans="1:19">
      <c r="A50" s="44"/>
      <c r="B50" s="17" t="s">
        <v>15</v>
      </c>
      <c r="C50" s="148"/>
      <c r="D50" s="11" t="s">
        <v>11</v>
      </c>
      <c r="E50" s="11" t="s">
        <v>11</v>
      </c>
      <c r="F50" s="22" t="s">
        <v>12</v>
      </c>
      <c r="G50" s="11" t="s">
        <v>11</v>
      </c>
      <c r="H50" s="22" t="s">
        <v>11</v>
      </c>
      <c r="I50" s="22" t="s">
        <v>11</v>
      </c>
      <c r="J50" s="22" t="s">
        <v>12</v>
      </c>
      <c r="K50" s="22" t="s">
        <v>11</v>
      </c>
      <c r="L50" s="45"/>
    </row>
    <row r="51" spans="1:19">
      <c r="A51" s="44"/>
      <c r="B51" s="18" t="s">
        <v>16</v>
      </c>
      <c r="C51" s="148"/>
      <c r="D51" s="11" t="s">
        <v>11</v>
      </c>
      <c r="E51" s="11" t="s">
        <v>11</v>
      </c>
      <c r="F51" s="22" t="s">
        <v>12</v>
      </c>
      <c r="G51" s="11" t="s">
        <v>11</v>
      </c>
      <c r="H51" s="22" t="s">
        <v>11</v>
      </c>
      <c r="I51" s="22" t="s">
        <v>11</v>
      </c>
      <c r="J51" s="22" t="s">
        <v>12</v>
      </c>
      <c r="K51" s="22" t="s">
        <v>11</v>
      </c>
      <c r="L51" s="45"/>
    </row>
    <row r="52" spans="1:19">
      <c r="A52" s="44"/>
      <c r="B52" s="19" t="s">
        <v>17</v>
      </c>
      <c r="C52" s="148"/>
      <c r="D52" s="132"/>
      <c r="E52" s="149"/>
      <c r="F52" s="149"/>
      <c r="G52" s="150"/>
      <c r="H52" s="22" t="s">
        <v>11</v>
      </c>
      <c r="I52" s="22" t="s">
        <v>11</v>
      </c>
      <c r="J52" s="22" t="s">
        <v>12</v>
      </c>
      <c r="K52" s="22" t="s">
        <v>11</v>
      </c>
      <c r="L52" s="45"/>
    </row>
    <row r="53" spans="1:19">
      <c r="A53" s="44"/>
      <c r="B53" s="18" t="s">
        <v>18</v>
      </c>
      <c r="C53" s="148"/>
      <c r="D53" s="11" t="s">
        <v>11</v>
      </c>
      <c r="E53" s="11" t="s">
        <v>11</v>
      </c>
      <c r="F53" s="22" t="s">
        <v>12</v>
      </c>
      <c r="G53" s="22" t="s">
        <v>11</v>
      </c>
      <c r="H53" s="22" t="s">
        <v>11</v>
      </c>
      <c r="I53" s="22" t="s">
        <v>11</v>
      </c>
      <c r="J53" s="21" t="s">
        <v>12</v>
      </c>
      <c r="K53" s="22" t="s">
        <v>11</v>
      </c>
      <c r="L53" s="45"/>
    </row>
    <row r="54" spans="1:19">
      <c r="A54" s="44"/>
      <c r="B54" s="18" t="s">
        <v>19</v>
      </c>
      <c r="C54" s="151"/>
      <c r="D54" s="29"/>
      <c r="E54" s="11"/>
      <c r="F54" s="11"/>
      <c r="G54" s="11"/>
      <c r="H54" s="29"/>
      <c r="I54" s="11"/>
      <c r="J54" s="11"/>
      <c r="K54" s="11"/>
      <c r="L54" s="46"/>
    </row>
    <row r="55" spans="1:19">
      <c r="A55" s="7"/>
      <c r="B55" s="7"/>
      <c r="C55" s="28"/>
      <c r="D55" s="8"/>
      <c r="E55" s="8"/>
      <c r="F55" s="8"/>
      <c r="G55" s="8"/>
      <c r="H55" s="8"/>
      <c r="I55" s="8"/>
      <c r="J55" s="8"/>
      <c r="K55" s="8"/>
      <c r="L55" s="47"/>
    </row>
    <row r="56" spans="1:19">
      <c r="A56" s="44" t="s">
        <v>29</v>
      </c>
      <c r="B56" s="16"/>
      <c r="C56" s="39" t="s">
        <v>5</v>
      </c>
      <c r="D56" s="20" t="s">
        <v>6</v>
      </c>
      <c r="E56" s="5" t="s">
        <v>7</v>
      </c>
      <c r="F56" s="5" t="s">
        <v>8</v>
      </c>
      <c r="G56" s="5" t="str">
        <f>_xlfn.TEXTBEFORE(D56, " ", 1) &amp; " 4"</f>
        <v>Unit 4</v>
      </c>
      <c r="H56" s="5" t="s">
        <v>6</v>
      </c>
      <c r="I56" s="5" t="s">
        <v>7</v>
      </c>
      <c r="J56" s="5" t="s">
        <v>8</v>
      </c>
      <c r="K56" s="5" t="str">
        <f>_xlfn.TEXTBEFORE(H56, " ", 1) &amp; " 4"</f>
        <v>Unit 4</v>
      </c>
      <c r="L56" s="50">
        <f>COUNTIF(H62:K62,"Pass")*25%</f>
        <v>0.25</v>
      </c>
    </row>
    <row r="57" spans="1:19">
      <c r="A57" s="44"/>
      <c r="B57" s="17" t="s">
        <v>9</v>
      </c>
      <c r="C57" s="131" t="s">
        <v>32</v>
      </c>
      <c r="D57" s="22" t="s">
        <v>12</v>
      </c>
      <c r="E57" s="22" t="s">
        <v>11</v>
      </c>
      <c r="F57" s="22" t="s">
        <v>12</v>
      </c>
      <c r="G57" s="22" t="s">
        <v>11</v>
      </c>
      <c r="H57" s="22" t="s">
        <v>12</v>
      </c>
      <c r="I57" s="22" t="s">
        <v>22</v>
      </c>
      <c r="J57" s="22" t="s">
        <v>12</v>
      </c>
      <c r="K57" s="22" t="s">
        <v>11</v>
      </c>
      <c r="L57" s="45"/>
    </row>
    <row r="58" spans="1:19">
      <c r="A58" s="44"/>
      <c r="B58" s="17" t="s">
        <v>14</v>
      </c>
      <c r="C58" s="152"/>
      <c r="D58" s="22" t="s">
        <v>12</v>
      </c>
      <c r="E58" s="22" t="s">
        <v>22</v>
      </c>
      <c r="F58" s="22" t="s">
        <v>12</v>
      </c>
      <c r="G58" s="22" t="s">
        <v>11</v>
      </c>
      <c r="H58" s="22" t="s">
        <v>12</v>
      </c>
      <c r="I58" s="22" t="s">
        <v>22</v>
      </c>
      <c r="J58" s="22" t="s">
        <v>12</v>
      </c>
      <c r="K58" s="22" t="s">
        <v>11</v>
      </c>
      <c r="L58" s="45"/>
    </row>
    <row r="59" spans="1:19">
      <c r="A59" s="44"/>
      <c r="B59" s="17" t="s">
        <v>15</v>
      </c>
      <c r="C59" s="152"/>
      <c r="D59" s="22" t="s">
        <v>12</v>
      </c>
      <c r="E59" s="22" t="s">
        <v>11</v>
      </c>
      <c r="F59" s="22" t="s">
        <v>12</v>
      </c>
      <c r="G59" s="22" t="s">
        <v>11</v>
      </c>
      <c r="H59" s="22" t="s">
        <v>12</v>
      </c>
      <c r="I59" s="22" t="s">
        <v>22</v>
      </c>
      <c r="J59" s="22" t="s">
        <v>12</v>
      </c>
      <c r="K59" s="22" t="s">
        <v>11</v>
      </c>
      <c r="L59" s="45"/>
    </row>
    <row r="60" spans="1:19">
      <c r="A60" s="44"/>
      <c r="B60" s="18" t="s">
        <v>16</v>
      </c>
      <c r="C60" s="152"/>
      <c r="D60" s="22" t="s">
        <v>12</v>
      </c>
      <c r="E60" s="22" t="s">
        <v>22</v>
      </c>
      <c r="F60" s="22" t="s">
        <v>12</v>
      </c>
      <c r="G60" s="22" t="s">
        <v>11</v>
      </c>
      <c r="H60" s="22" t="s">
        <v>12</v>
      </c>
      <c r="I60" s="22" t="s">
        <v>22</v>
      </c>
      <c r="J60" s="22" t="s">
        <v>12</v>
      </c>
      <c r="K60" s="22" t="s">
        <v>11</v>
      </c>
      <c r="L60" s="45"/>
    </row>
    <row r="61" spans="1:19">
      <c r="A61" s="44"/>
      <c r="B61" s="19" t="s">
        <v>17</v>
      </c>
      <c r="C61" s="152"/>
      <c r="D61" s="128"/>
      <c r="E61" s="149"/>
      <c r="F61" s="149"/>
      <c r="G61" s="150"/>
      <c r="H61" s="22" t="s">
        <v>12</v>
      </c>
      <c r="I61" s="22" t="s">
        <v>22</v>
      </c>
      <c r="J61" s="22" t="s">
        <v>12</v>
      </c>
      <c r="K61" s="22" t="s">
        <v>11</v>
      </c>
      <c r="L61" s="45"/>
    </row>
    <row r="62" spans="1:19">
      <c r="A62" s="44"/>
      <c r="B62" s="9" t="s">
        <v>18</v>
      </c>
      <c r="C62" s="152"/>
      <c r="D62" s="22" t="s">
        <v>12</v>
      </c>
      <c r="E62" s="22" t="s">
        <v>22</v>
      </c>
      <c r="F62" s="22" t="s">
        <v>12</v>
      </c>
      <c r="G62" s="22" t="s">
        <v>11</v>
      </c>
      <c r="H62" s="21" t="s">
        <v>12</v>
      </c>
      <c r="I62" s="22" t="s">
        <v>22</v>
      </c>
      <c r="J62" s="21" t="s">
        <v>12</v>
      </c>
      <c r="K62" s="22" t="s">
        <v>11</v>
      </c>
      <c r="L62" s="45"/>
      <c r="S62" s="33"/>
    </row>
    <row r="63" spans="1:19">
      <c r="A63" s="44"/>
      <c r="B63" s="19" t="s">
        <v>19</v>
      </c>
      <c r="C63" s="153"/>
      <c r="D63" s="29" t="s">
        <v>33</v>
      </c>
      <c r="E63" s="11" t="s">
        <v>23</v>
      </c>
      <c r="F63" s="29" t="s">
        <v>33</v>
      </c>
      <c r="G63" s="15"/>
      <c r="I63" s="11" t="s">
        <v>23</v>
      </c>
      <c r="L63" s="46"/>
    </row>
    <row r="64" spans="1:19">
      <c r="A64" s="7"/>
      <c r="B64" s="30"/>
      <c r="C64" s="32"/>
      <c r="D64" s="31"/>
      <c r="E64" s="31"/>
      <c r="F64" s="31"/>
      <c r="G64" s="31"/>
      <c r="H64" s="31"/>
      <c r="I64" s="31"/>
      <c r="J64" s="31"/>
      <c r="K64" s="31"/>
      <c r="L64" s="48"/>
    </row>
    <row r="65" spans="1:12">
      <c r="A65" s="44" t="s">
        <v>29</v>
      </c>
      <c r="B65" s="5"/>
      <c r="C65" s="39" t="s">
        <v>5</v>
      </c>
      <c r="D65" s="5" t="s">
        <v>6</v>
      </c>
      <c r="E65" s="5" t="s">
        <v>7</v>
      </c>
      <c r="F65" s="5" t="s">
        <v>8</v>
      </c>
      <c r="G65" s="5" t="str">
        <f>_xlfn.TEXTBEFORE(D65, " ", 1) &amp; " 4"</f>
        <v>Unit 4</v>
      </c>
      <c r="H65" s="5" t="s">
        <v>6</v>
      </c>
      <c r="I65" s="5" t="s">
        <v>7</v>
      </c>
      <c r="J65" s="5" t="s">
        <v>8</v>
      </c>
      <c r="K65" s="5" t="str">
        <f>_xlfn.TEXTBEFORE(H65, " ", 1) &amp; " 4"</f>
        <v>Unit 4</v>
      </c>
      <c r="L65" s="50">
        <f>COUNTIF(H71:K71,"Pass")*25%</f>
        <v>0.5</v>
      </c>
    </row>
    <row r="66" spans="1:12">
      <c r="A66" s="44"/>
      <c r="B66" s="5" t="s">
        <v>9</v>
      </c>
      <c r="C66" s="134" t="s">
        <v>34</v>
      </c>
      <c r="D66" s="11" t="s">
        <v>11</v>
      </c>
      <c r="E66" s="22" t="s">
        <v>12</v>
      </c>
      <c r="F66" s="11" t="s">
        <v>11</v>
      </c>
      <c r="G66" s="22" t="s">
        <v>22</v>
      </c>
      <c r="H66" s="22" t="s">
        <v>11</v>
      </c>
      <c r="I66" s="22" t="s">
        <v>12</v>
      </c>
      <c r="J66" s="22" t="s">
        <v>11</v>
      </c>
      <c r="K66" s="22" t="s">
        <v>22</v>
      </c>
      <c r="L66" s="45"/>
    </row>
    <row r="67" spans="1:12">
      <c r="A67" s="44"/>
      <c r="B67" s="5" t="s">
        <v>14</v>
      </c>
      <c r="C67" s="135"/>
      <c r="D67" s="11" t="s">
        <v>11</v>
      </c>
      <c r="E67" s="22" t="s">
        <v>12</v>
      </c>
      <c r="F67" s="11" t="s">
        <v>11</v>
      </c>
      <c r="G67" s="22" t="s">
        <v>22</v>
      </c>
      <c r="H67" s="22" t="s">
        <v>11</v>
      </c>
      <c r="I67" s="22" t="s">
        <v>12</v>
      </c>
      <c r="J67" s="22" t="s">
        <v>11</v>
      </c>
      <c r="K67" s="22" t="s">
        <v>22</v>
      </c>
      <c r="L67" s="45"/>
    </row>
    <row r="68" spans="1:12">
      <c r="A68" s="44"/>
      <c r="B68" s="5" t="s">
        <v>15</v>
      </c>
      <c r="C68" s="135"/>
      <c r="D68" s="11" t="s">
        <v>11</v>
      </c>
      <c r="E68" s="22" t="s">
        <v>12</v>
      </c>
      <c r="F68" s="11" t="s">
        <v>11</v>
      </c>
      <c r="G68" s="22" t="s">
        <v>22</v>
      </c>
      <c r="H68" s="22" t="s">
        <v>11</v>
      </c>
      <c r="I68" s="22" t="s">
        <v>12</v>
      </c>
      <c r="J68" s="22" t="s">
        <v>11</v>
      </c>
      <c r="K68" s="22" t="s">
        <v>22</v>
      </c>
      <c r="L68" s="45"/>
    </row>
    <row r="69" spans="1:12">
      <c r="A69" s="44"/>
      <c r="B69" s="9" t="s">
        <v>16</v>
      </c>
      <c r="C69" s="135"/>
      <c r="D69" s="11" t="s">
        <v>11</v>
      </c>
      <c r="E69" s="22" t="s">
        <v>12</v>
      </c>
      <c r="F69" s="11" t="s">
        <v>11</v>
      </c>
      <c r="G69" s="22" t="s">
        <v>22</v>
      </c>
      <c r="H69" s="22" t="s">
        <v>11</v>
      </c>
      <c r="I69" s="22" t="s">
        <v>12</v>
      </c>
      <c r="J69" s="22" t="s">
        <v>11</v>
      </c>
      <c r="K69" s="22" t="s">
        <v>22</v>
      </c>
      <c r="L69" s="45"/>
    </row>
    <row r="70" spans="1:12">
      <c r="A70" s="44"/>
      <c r="B70" s="9" t="s">
        <v>17</v>
      </c>
      <c r="C70" s="135"/>
      <c r="D70" s="124"/>
      <c r="E70" s="154"/>
      <c r="F70" s="154"/>
      <c r="G70" s="155"/>
      <c r="H70" s="22" t="s">
        <v>11</v>
      </c>
      <c r="I70" s="22" t="s">
        <v>12</v>
      </c>
      <c r="J70" s="22" t="s">
        <v>11</v>
      </c>
      <c r="K70" s="22" t="s">
        <v>22</v>
      </c>
      <c r="L70" s="45"/>
    </row>
    <row r="71" spans="1:12">
      <c r="A71" s="44"/>
      <c r="B71" s="9" t="s">
        <v>18</v>
      </c>
      <c r="C71" s="135"/>
      <c r="D71" s="11" t="s">
        <v>11</v>
      </c>
      <c r="E71" s="11" t="s">
        <v>12</v>
      </c>
      <c r="F71" s="11" t="s">
        <v>11</v>
      </c>
      <c r="G71" s="11" t="s">
        <v>22</v>
      </c>
      <c r="H71" s="22" t="s">
        <v>11</v>
      </c>
      <c r="I71" s="21" t="s">
        <v>12</v>
      </c>
      <c r="J71" s="22" t="s">
        <v>11</v>
      </c>
      <c r="K71" s="22" t="s">
        <v>22</v>
      </c>
      <c r="L71" s="45"/>
    </row>
    <row r="72" spans="1:12">
      <c r="A72" s="44"/>
      <c r="B72" s="9" t="s">
        <v>19</v>
      </c>
      <c r="C72" s="136"/>
      <c r="D72" s="11"/>
      <c r="E72" s="11"/>
      <c r="F72" s="29"/>
      <c r="G72" s="11"/>
      <c r="H72" s="15"/>
      <c r="I72" s="15"/>
      <c r="J72" s="11"/>
      <c r="L72" s="46"/>
    </row>
    <row r="73" spans="1:12">
      <c r="A73" s="7"/>
      <c r="B73" s="30"/>
      <c r="C73" s="32"/>
      <c r="D73" s="31"/>
      <c r="E73" s="31"/>
      <c r="F73" s="31"/>
      <c r="G73" s="31"/>
      <c r="H73" s="31"/>
      <c r="I73" s="31"/>
      <c r="J73" s="31"/>
      <c r="K73" s="31"/>
      <c r="L73" s="48"/>
    </row>
    <row r="74" spans="1:12">
      <c r="A74" s="44" t="s">
        <v>29</v>
      </c>
      <c r="B74" s="5"/>
      <c r="C74" s="39" t="s">
        <v>5</v>
      </c>
      <c r="D74" s="5" t="s">
        <v>6</v>
      </c>
      <c r="E74" s="5" t="s">
        <v>7</v>
      </c>
      <c r="F74" s="5" t="s">
        <v>8</v>
      </c>
      <c r="G74" s="5" t="str">
        <f>_xlfn.TEXTBEFORE(D74, " ", 1) &amp; " 4"</f>
        <v>Unit 4</v>
      </c>
      <c r="H74" s="5" t="s">
        <v>6</v>
      </c>
      <c r="I74" s="5" t="s">
        <v>7</v>
      </c>
      <c r="J74" s="5" t="s">
        <v>8</v>
      </c>
      <c r="K74" s="5" t="str">
        <f>_xlfn.TEXTBEFORE(H74, " ", 1) &amp; " 4"</f>
        <v>Unit 4</v>
      </c>
      <c r="L74" s="50">
        <f>COUNTIF(H80:K80,"Pass")*25%</f>
        <v>0.75</v>
      </c>
    </row>
    <row r="75" spans="1:12">
      <c r="A75" s="44"/>
      <c r="B75" s="5" t="s">
        <v>9</v>
      </c>
      <c r="C75" s="130" t="s">
        <v>35</v>
      </c>
      <c r="D75" s="11" t="s">
        <v>11</v>
      </c>
      <c r="E75" s="11" t="s">
        <v>11</v>
      </c>
      <c r="F75" s="11" t="s">
        <v>11</v>
      </c>
      <c r="G75" s="22" t="s">
        <v>12</v>
      </c>
      <c r="H75" s="22" t="s">
        <v>11</v>
      </c>
      <c r="I75" s="11" t="s">
        <v>11</v>
      </c>
      <c r="J75" s="11" t="s">
        <v>11</v>
      </c>
      <c r="K75" s="22" t="s">
        <v>12</v>
      </c>
      <c r="L75" s="45"/>
    </row>
    <row r="76" spans="1:12">
      <c r="A76" s="44"/>
      <c r="B76" s="5" t="s">
        <v>14</v>
      </c>
      <c r="C76" s="148"/>
      <c r="D76" s="11" t="s">
        <v>11</v>
      </c>
      <c r="E76" s="11" t="s">
        <v>11</v>
      </c>
      <c r="F76" s="11" t="s">
        <v>11</v>
      </c>
      <c r="G76" s="22" t="s">
        <v>12</v>
      </c>
      <c r="H76" s="22" t="s">
        <v>11</v>
      </c>
      <c r="I76" s="11" t="s">
        <v>11</v>
      </c>
      <c r="J76" s="11" t="s">
        <v>11</v>
      </c>
      <c r="K76" s="22" t="s">
        <v>12</v>
      </c>
      <c r="L76" s="45"/>
    </row>
    <row r="77" spans="1:12">
      <c r="A77" s="44"/>
      <c r="B77" s="5" t="s">
        <v>15</v>
      </c>
      <c r="C77" s="148"/>
      <c r="D77" s="11" t="s">
        <v>11</v>
      </c>
      <c r="E77" s="11" t="s">
        <v>11</v>
      </c>
      <c r="F77" s="11" t="s">
        <v>11</v>
      </c>
      <c r="G77" s="22" t="s">
        <v>12</v>
      </c>
      <c r="H77" s="22" t="s">
        <v>11</v>
      </c>
      <c r="I77" s="11" t="s">
        <v>11</v>
      </c>
      <c r="J77" s="11" t="s">
        <v>11</v>
      </c>
      <c r="K77" s="22" t="s">
        <v>12</v>
      </c>
      <c r="L77" s="45"/>
    </row>
    <row r="78" spans="1:12">
      <c r="A78" s="44"/>
      <c r="B78" s="9" t="s">
        <v>16</v>
      </c>
      <c r="C78" s="148"/>
      <c r="D78" s="11" t="s">
        <v>11</v>
      </c>
      <c r="E78" s="11" t="s">
        <v>11</v>
      </c>
      <c r="F78" s="11" t="s">
        <v>11</v>
      </c>
      <c r="G78" s="22" t="s">
        <v>12</v>
      </c>
      <c r="H78" s="22" t="s">
        <v>11</v>
      </c>
      <c r="I78" s="11" t="s">
        <v>11</v>
      </c>
      <c r="J78" s="11" t="s">
        <v>11</v>
      </c>
      <c r="K78" s="22" t="s">
        <v>12</v>
      </c>
      <c r="L78" s="45"/>
    </row>
    <row r="79" spans="1:12">
      <c r="A79" s="44"/>
      <c r="B79" s="9" t="s">
        <v>17</v>
      </c>
      <c r="C79" s="148"/>
      <c r="D79" s="124"/>
      <c r="E79" s="154"/>
      <c r="F79" s="154"/>
      <c r="G79" s="155"/>
      <c r="H79" s="22" t="s">
        <v>11</v>
      </c>
      <c r="I79" s="11" t="s">
        <v>11</v>
      </c>
      <c r="J79" s="11" t="s">
        <v>11</v>
      </c>
      <c r="K79" s="22" t="s">
        <v>12</v>
      </c>
      <c r="L79" s="45"/>
    </row>
    <row r="80" spans="1:12">
      <c r="A80" s="44"/>
      <c r="B80" s="9" t="s">
        <v>18</v>
      </c>
      <c r="C80" s="148"/>
      <c r="D80" s="11" t="s">
        <v>11</v>
      </c>
      <c r="E80" s="11" t="s">
        <v>11</v>
      </c>
      <c r="F80" s="11" t="s">
        <v>11</v>
      </c>
      <c r="G80" s="22" t="s">
        <v>12</v>
      </c>
      <c r="H80" s="22" t="s">
        <v>11</v>
      </c>
      <c r="I80" s="11" t="s">
        <v>11</v>
      </c>
      <c r="J80" s="11" t="s">
        <v>11</v>
      </c>
      <c r="K80" s="11" t="s">
        <v>12</v>
      </c>
      <c r="L80" s="45"/>
    </row>
    <row r="81" spans="1:12">
      <c r="A81" s="44"/>
      <c r="B81" s="9" t="s">
        <v>19</v>
      </c>
      <c r="C81" s="151"/>
      <c r="D81" s="11"/>
      <c r="E81" s="11"/>
      <c r="F81" s="11"/>
      <c r="G81" s="11"/>
      <c r="H81" s="43"/>
      <c r="I81" s="11"/>
      <c r="J81" s="11"/>
      <c r="K81" s="11"/>
      <c r="L81" s="46"/>
    </row>
    <row r="82" spans="1:12">
      <c r="A82" s="7"/>
      <c r="B82" s="30"/>
      <c r="C82" s="32"/>
      <c r="D82" s="31"/>
      <c r="E82" s="31"/>
      <c r="F82" s="31"/>
      <c r="G82" s="31"/>
      <c r="H82" s="31"/>
      <c r="I82" s="31"/>
      <c r="J82" s="31"/>
      <c r="K82" s="31"/>
      <c r="L82" s="48"/>
    </row>
    <row r="83" spans="1:12">
      <c r="A83" s="44" t="s">
        <v>29</v>
      </c>
      <c r="B83" s="5"/>
      <c r="C83" s="39" t="s">
        <v>5</v>
      </c>
      <c r="D83" s="5" t="s">
        <v>6</v>
      </c>
      <c r="E83" s="5" t="s">
        <v>7</v>
      </c>
      <c r="F83" s="5" t="s">
        <v>8</v>
      </c>
      <c r="G83" s="5" t="str">
        <f>_xlfn.TEXTBEFORE(D83, " ", 1) &amp; " 4"</f>
        <v>Unit 4</v>
      </c>
      <c r="H83" s="5" t="s">
        <v>6</v>
      </c>
      <c r="I83" s="5" t="s">
        <v>7</v>
      </c>
      <c r="J83" s="5" t="s">
        <v>8</v>
      </c>
      <c r="K83" s="5" t="str">
        <f>_xlfn.TEXTBEFORE(H83, " ", 1) &amp; " 4"</f>
        <v>Unit 4</v>
      </c>
      <c r="L83" s="50">
        <f>COUNTIF(H89:K89,"Pass")*25%</f>
        <v>0.5</v>
      </c>
    </row>
    <row r="84" spans="1:12">
      <c r="A84" s="44"/>
      <c r="B84" s="5" t="s">
        <v>9</v>
      </c>
      <c r="C84" s="133" t="s">
        <v>36</v>
      </c>
      <c r="D84" s="11" t="s">
        <v>11</v>
      </c>
      <c r="E84" s="11" t="s">
        <v>11</v>
      </c>
      <c r="F84" s="22" t="s">
        <v>22</v>
      </c>
      <c r="G84" s="11" t="s">
        <v>11</v>
      </c>
      <c r="H84" s="22" t="s">
        <v>22</v>
      </c>
      <c r="I84" s="22" t="s">
        <v>11</v>
      </c>
      <c r="J84" s="22" t="s">
        <v>22</v>
      </c>
      <c r="K84" s="22" t="s">
        <v>11</v>
      </c>
      <c r="L84" s="45"/>
    </row>
    <row r="85" spans="1:12">
      <c r="A85" s="44"/>
      <c r="B85" s="5" t="s">
        <v>14</v>
      </c>
      <c r="C85" s="156"/>
      <c r="D85" s="11" t="s">
        <v>22</v>
      </c>
      <c r="E85" s="11" t="s">
        <v>11</v>
      </c>
      <c r="F85" s="22" t="s">
        <v>22</v>
      </c>
      <c r="G85" s="11" t="s">
        <v>11</v>
      </c>
      <c r="H85" s="22" t="s">
        <v>22</v>
      </c>
      <c r="I85" s="22" t="s">
        <v>11</v>
      </c>
      <c r="J85" s="22" t="s">
        <v>22</v>
      </c>
      <c r="K85" s="22" t="s">
        <v>11</v>
      </c>
      <c r="L85" s="45"/>
    </row>
    <row r="86" spans="1:12">
      <c r="A86" s="44"/>
      <c r="B86" s="5" t="s">
        <v>15</v>
      </c>
      <c r="C86" s="156"/>
      <c r="D86" s="11" t="s">
        <v>22</v>
      </c>
      <c r="E86" s="11" t="s">
        <v>11</v>
      </c>
      <c r="F86" s="22" t="s">
        <v>22</v>
      </c>
      <c r="G86" s="11" t="s">
        <v>11</v>
      </c>
      <c r="H86" s="22" t="s">
        <v>22</v>
      </c>
      <c r="I86" s="22" t="s">
        <v>11</v>
      </c>
      <c r="J86" s="22" t="s">
        <v>22</v>
      </c>
      <c r="K86" s="22" t="s">
        <v>11</v>
      </c>
      <c r="L86" s="45"/>
    </row>
    <row r="87" spans="1:12">
      <c r="A87" s="44"/>
      <c r="B87" s="9" t="s">
        <v>16</v>
      </c>
      <c r="C87" s="156"/>
      <c r="D87" s="11" t="s">
        <v>22</v>
      </c>
      <c r="E87" s="11" t="s">
        <v>11</v>
      </c>
      <c r="F87" s="22" t="s">
        <v>22</v>
      </c>
      <c r="G87" s="11" t="s">
        <v>11</v>
      </c>
      <c r="H87" s="22" t="s">
        <v>22</v>
      </c>
      <c r="I87" s="22" t="s">
        <v>11</v>
      </c>
      <c r="J87" s="22" t="s">
        <v>22</v>
      </c>
      <c r="K87" s="22" t="s">
        <v>11</v>
      </c>
      <c r="L87" s="45"/>
    </row>
    <row r="88" spans="1:12">
      <c r="A88" s="44"/>
      <c r="B88" s="9" t="s">
        <v>17</v>
      </c>
      <c r="C88" s="156"/>
      <c r="D88" s="64"/>
      <c r="E88" s="64"/>
      <c r="F88" s="65"/>
      <c r="G88" s="64"/>
      <c r="H88" s="22" t="s">
        <v>22</v>
      </c>
      <c r="I88" s="22" t="s">
        <v>11</v>
      </c>
      <c r="J88" s="22" t="s">
        <v>22</v>
      </c>
      <c r="K88" s="22" t="s">
        <v>11</v>
      </c>
      <c r="L88" s="45"/>
    </row>
    <row r="89" spans="1:12">
      <c r="A89" s="44"/>
      <c r="B89" s="9" t="s">
        <v>18</v>
      </c>
      <c r="C89" s="156"/>
      <c r="D89" s="11" t="s">
        <v>22</v>
      </c>
      <c r="E89" s="22" t="s">
        <v>11</v>
      </c>
      <c r="F89" s="22" t="s">
        <v>22</v>
      </c>
      <c r="G89" s="22" t="s">
        <v>11</v>
      </c>
      <c r="H89" s="22" t="s">
        <v>22</v>
      </c>
      <c r="I89" s="22" t="s">
        <v>11</v>
      </c>
      <c r="J89" s="22" t="s">
        <v>22</v>
      </c>
      <c r="K89" s="22" t="s">
        <v>11</v>
      </c>
      <c r="L89" s="45"/>
    </row>
    <row r="90" spans="1:12">
      <c r="A90" s="44"/>
      <c r="B90" s="9" t="s">
        <v>19</v>
      </c>
      <c r="C90" s="157"/>
      <c r="E90" s="11"/>
      <c r="F90" s="11"/>
      <c r="G90" s="11"/>
      <c r="H90" s="11"/>
      <c r="I90" s="11"/>
      <c r="J90" s="11" t="s">
        <v>23</v>
      </c>
      <c r="K90" s="11"/>
      <c r="L90" s="46"/>
    </row>
    <row r="91" spans="1:12">
      <c r="A91" s="7"/>
      <c r="B91" s="30"/>
      <c r="C91" s="32"/>
      <c r="D91" s="31"/>
      <c r="E91" s="31"/>
      <c r="F91" s="31"/>
      <c r="G91" s="31"/>
      <c r="H91" s="31"/>
      <c r="I91" s="31"/>
      <c r="J91" s="31"/>
      <c r="K91" s="31"/>
      <c r="L91" s="48"/>
    </row>
    <row r="92" spans="1:12">
      <c r="A92" t="s">
        <v>37</v>
      </c>
      <c r="B92" s="34"/>
      <c r="C92" s="39" t="s">
        <v>5</v>
      </c>
      <c r="D92" s="5" t="s">
        <v>6</v>
      </c>
      <c r="E92" s="5" t="s">
        <v>7</v>
      </c>
      <c r="F92" s="5" t="s">
        <v>8</v>
      </c>
      <c r="G92" s="5" t="str">
        <f>_xlfn.TEXTBEFORE(D92, " ", 1) &amp; " 4"</f>
        <v>Unit 4</v>
      </c>
      <c r="H92" s="5" t="s">
        <v>6</v>
      </c>
      <c r="I92" s="5" t="s">
        <v>7</v>
      </c>
      <c r="J92" s="5" t="s">
        <v>8</v>
      </c>
      <c r="K92" s="5" t="str">
        <f>_xlfn.TEXTBEFORE(H92, " ", 1) &amp; " 4"</f>
        <v>Unit 4</v>
      </c>
      <c r="L92" s="50">
        <f>COUNTIF(H98:K98,"Pass")*25%</f>
        <v>1</v>
      </c>
    </row>
    <row r="93" spans="1:12" ht="14.45" customHeight="1">
      <c r="B93" s="5" t="s">
        <v>9</v>
      </c>
      <c r="C93" s="130" t="s">
        <v>38</v>
      </c>
      <c r="D93" s="11" t="s">
        <v>11</v>
      </c>
      <c r="E93" s="11" t="s">
        <v>11</v>
      </c>
      <c r="F93" s="11" t="s">
        <v>11</v>
      </c>
      <c r="G93" s="11" t="s">
        <v>11</v>
      </c>
      <c r="H93" s="22" t="s">
        <v>11</v>
      </c>
      <c r="I93" s="22" t="s">
        <v>11</v>
      </c>
      <c r="J93" s="22" t="s">
        <v>11</v>
      </c>
      <c r="K93" s="22" t="s">
        <v>11</v>
      </c>
      <c r="L93" s="45"/>
    </row>
    <row r="94" spans="1:12" ht="14.45" customHeight="1">
      <c r="B94" s="5" t="s">
        <v>14</v>
      </c>
      <c r="C94" s="148"/>
      <c r="D94" s="11" t="s">
        <v>11</v>
      </c>
      <c r="E94" s="11" t="s">
        <v>11</v>
      </c>
      <c r="F94" s="11" t="s">
        <v>11</v>
      </c>
      <c r="G94" s="11" t="s">
        <v>11</v>
      </c>
      <c r="H94" s="22" t="s">
        <v>11</v>
      </c>
      <c r="I94" s="22" t="s">
        <v>11</v>
      </c>
      <c r="J94" s="22" t="s">
        <v>11</v>
      </c>
      <c r="K94" s="22" t="s">
        <v>11</v>
      </c>
      <c r="L94" s="45"/>
    </row>
    <row r="95" spans="1:12" ht="14.45" customHeight="1">
      <c r="B95" s="5" t="s">
        <v>15</v>
      </c>
      <c r="C95" s="148"/>
      <c r="D95" s="11" t="s">
        <v>11</v>
      </c>
      <c r="E95" s="11" t="s">
        <v>11</v>
      </c>
      <c r="F95" s="11" t="s">
        <v>11</v>
      </c>
      <c r="G95" s="11" t="s">
        <v>11</v>
      </c>
      <c r="H95" s="22" t="s">
        <v>11</v>
      </c>
      <c r="I95" s="22" t="s">
        <v>11</v>
      </c>
      <c r="J95" s="22" t="s">
        <v>11</v>
      </c>
      <c r="K95" s="22" t="s">
        <v>11</v>
      </c>
      <c r="L95" s="45"/>
    </row>
    <row r="96" spans="1:12" ht="14.45" customHeight="1">
      <c r="B96" s="9" t="s">
        <v>16</v>
      </c>
      <c r="C96" s="148"/>
      <c r="D96" s="11" t="s">
        <v>11</v>
      </c>
      <c r="E96" s="11" t="s">
        <v>11</v>
      </c>
      <c r="F96" s="11" t="s">
        <v>11</v>
      </c>
      <c r="G96" s="11" t="s">
        <v>11</v>
      </c>
      <c r="H96" s="22" t="s">
        <v>11</v>
      </c>
      <c r="I96" s="22" t="s">
        <v>11</v>
      </c>
      <c r="J96" s="22" t="s">
        <v>11</v>
      </c>
      <c r="K96" s="22" t="s">
        <v>11</v>
      </c>
      <c r="L96" s="45"/>
    </row>
    <row r="97" spans="1:12" ht="14.45" customHeight="1">
      <c r="B97" s="9" t="s">
        <v>17</v>
      </c>
      <c r="C97" s="148"/>
      <c r="D97" s="124"/>
      <c r="E97" s="154"/>
      <c r="F97" s="154"/>
      <c r="G97" s="155"/>
      <c r="H97" s="22" t="s">
        <v>11</v>
      </c>
      <c r="I97" s="22" t="s">
        <v>11</v>
      </c>
      <c r="J97" s="22" t="s">
        <v>11</v>
      </c>
      <c r="K97" s="22" t="s">
        <v>11</v>
      </c>
      <c r="L97" s="45"/>
    </row>
    <row r="98" spans="1:12">
      <c r="B98" s="9" t="s">
        <v>18</v>
      </c>
      <c r="C98" s="148"/>
      <c r="D98" s="11" t="s">
        <v>11</v>
      </c>
      <c r="E98" s="11" t="s">
        <v>11</v>
      </c>
      <c r="F98" s="11" t="s">
        <v>11</v>
      </c>
      <c r="G98" s="11" t="s">
        <v>11</v>
      </c>
      <c r="H98" s="22" t="s">
        <v>11</v>
      </c>
      <c r="I98" s="22" t="s">
        <v>11</v>
      </c>
      <c r="J98" s="11" t="s">
        <v>11</v>
      </c>
      <c r="K98" s="11" t="s">
        <v>11</v>
      </c>
      <c r="L98" s="45"/>
    </row>
    <row r="99" spans="1:12">
      <c r="B99" s="9" t="s">
        <v>19</v>
      </c>
      <c r="C99" s="151"/>
      <c r="F99" s="22"/>
      <c r="H99" s="11"/>
      <c r="I99" s="11"/>
      <c r="J99" s="11"/>
      <c r="K99" s="11"/>
      <c r="L99" s="46"/>
    </row>
    <row r="100" spans="1:12">
      <c r="A100" s="7"/>
      <c r="B100" s="30"/>
      <c r="C100" s="32"/>
      <c r="D100" s="31"/>
      <c r="E100" s="31"/>
      <c r="F100" s="31"/>
      <c r="G100" s="31"/>
      <c r="H100" s="31"/>
      <c r="I100" s="31"/>
      <c r="J100" s="31"/>
      <c r="K100" s="31"/>
      <c r="L100" s="48"/>
    </row>
    <row r="101" spans="1:12">
      <c r="A101" t="s">
        <v>37</v>
      </c>
      <c r="B101" s="34"/>
      <c r="C101" s="39" t="s">
        <v>5</v>
      </c>
      <c r="D101" s="5" t="s">
        <v>6</v>
      </c>
      <c r="E101" s="5" t="s">
        <v>7</v>
      </c>
      <c r="F101" s="5" t="s">
        <v>8</v>
      </c>
      <c r="G101" s="5" t="str">
        <f>_xlfn.TEXTBEFORE(D101, " ", 1) &amp; " 4"</f>
        <v>Unit 4</v>
      </c>
      <c r="H101" s="5" t="s">
        <v>6</v>
      </c>
      <c r="I101" s="5" t="s">
        <v>7</v>
      </c>
      <c r="J101" s="5" t="s">
        <v>8</v>
      </c>
      <c r="K101" s="5" t="str">
        <f>_xlfn.TEXTBEFORE(H101, " ", 1) &amp; " 4"</f>
        <v>Unit 4</v>
      </c>
      <c r="L101" s="50">
        <f>COUNTIF(H107:K107,"Pass")*25%</f>
        <v>1</v>
      </c>
    </row>
    <row r="102" spans="1:12">
      <c r="B102" s="5" t="s">
        <v>9</v>
      </c>
      <c r="C102" s="121" t="s">
        <v>39</v>
      </c>
      <c r="D102" s="11" t="s">
        <v>11</v>
      </c>
      <c r="E102" s="11" t="s">
        <v>11</v>
      </c>
      <c r="F102" s="11" t="s">
        <v>11</v>
      </c>
      <c r="G102" s="11" t="s">
        <v>11</v>
      </c>
      <c r="H102" s="22" t="s">
        <v>11</v>
      </c>
      <c r="I102" s="22" t="s">
        <v>11</v>
      </c>
      <c r="J102" s="22" t="s">
        <v>11</v>
      </c>
      <c r="K102" s="22" t="s">
        <v>11</v>
      </c>
      <c r="L102" s="45"/>
    </row>
    <row r="103" spans="1:12">
      <c r="B103" s="5" t="s">
        <v>14</v>
      </c>
      <c r="C103" s="122"/>
      <c r="D103" s="11" t="s">
        <v>11</v>
      </c>
      <c r="E103" s="11" t="s">
        <v>11</v>
      </c>
      <c r="F103" s="11" t="s">
        <v>11</v>
      </c>
      <c r="G103" s="11" t="s">
        <v>11</v>
      </c>
      <c r="H103" s="22" t="s">
        <v>11</v>
      </c>
      <c r="I103" s="22" t="s">
        <v>11</v>
      </c>
      <c r="J103" s="22" t="s">
        <v>11</v>
      </c>
      <c r="K103" s="22" t="s">
        <v>11</v>
      </c>
      <c r="L103" s="45"/>
    </row>
    <row r="104" spans="1:12">
      <c r="B104" s="5" t="s">
        <v>15</v>
      </c>
      <c r="C104" s="122"/>
      <c r="D104" s="11" t="s">
        <v>11</v>
      </c>
      <c r="E104" s="11" t="s">
        <v>11</v>
      </c>
      <c r="F104" s="11" t="s">
        <v>11</v>
      </c>
      <c r="G104" s="11" t="s">
        <v>11</v>
      </c>
      <c r="H104" s="22" t="s">
        <v>11</v>
      </c>
      <c r="I104" s="22" t="s">
        <v>11</v>
      </c>
      <c r="J104" s="22" t="s">
        <v>11</v>
      </c>
      <c r="K104" s="22" t="s">
        <v>11</v>
      </c>
      <c r="L104" s="45"/>
    </row>
    <row r="105" spans="1:12">
      <c r="B105" s="9" t="s">
        <v>16</v>
      </c>
      <c r="C105" s="122"/>
      <c r="D105" s="11" t="s">
        <v>11</v>
      </c>
      <c r="E105" s="11" t="s">
        <v>11</v>
      </c>
      <c r="F105" s="11" t="s">
        <v>11</v>
      </c>
      <c r="G105" s="11" t="s">
        <v>11</v>
      </c>
      <c r="H105" s="22" t="s">
        <v>11</v>
      </c>
      <c r="I105" s="22" t="s">
        <v>11</v>
      </c>
      <c r="J105" s="22" t="s">
        <v>11</v>
      </c>
      <c r="K105" s="22" t="s">
        <v>11</v>
      </c>
      <c r="L105" s="45"/>
    </row>
    <row r="106" spans="1:12">
      <c r="B106" s="9" t="s">
        <v>17</v>
      </c>
      <c r="C106" s="122"/>
      <c r="D106" s="124"/>
      <c r="E106" s="154"/>
      <c r="F106" s="154"/>
      <c r="G106" s="155"/>
      <c r="H106" s="22" t="s">
        <v>11</v>
      </c>
      <c r="I106" s="22" t="s">
        <v>11</v>
      </c>
      <c r="J106" s="22" t="s">
        <v>11</v>
      </c>
      <c r="K106" s="22" t="s">
        <v>11</v>
      </c>
      <c r="L106" s="45"/>
    </row>
    <row r="107" spans="1:12">
      <c r="B107" s="9" t="s">
        <v>18</v>
      </c>
      <c r="C107" s="122"/>
      <c r="D107" s="11" t="s">
        <v>11</v>
      </c>
      <c r="E107" s="11" t="s">
        <v>11</v>
      </c>
      <c r="F107" s="11" t="s">
        <v>11</v>
      </c>
      <c r="G107" s="11" t="s">
        <v>11</v>
      </c>
      <c r="H107" s="11" t="s">
        <v>11</v>
      </c>
      <c r="I107" s="11" t="s">
        <v>11</v>
      </c>
      <c r="J107" s="11" t="s">
        <v>11</v>
      </c>
      <c r="K107" s="11" t="s">
        <v>11</v>
      </c>
      <c r="L107" s="45"/>
    </row>
    <row r="108" spans="1:12">
      <c r="B108" s="9" t="s">
        <v>19</v>
      </c>
      <c r="C108" s="123"/>
      <c r="D108" s="11"/>
      <c r="E108" s="11"/>
      <c r="F108" s="22"/>
      <c r="G108" s="11"/>
      <c r="H108" s="11"/>
      <c r="I108" s="11"/>
      <c r="J108" s="11"/>
      <c r="K108" s="11"/>
      <c r="L108" s="46"/>
    </row>
    <row r="109" spans="1:12">
      <c r="A109" s="7"/>
      <c r="B109" s="30"/>
      <c r="C109" s="32"/>
      <c r="D109" s="31"/>
      <c r="E109" s="31"/>
      <c r="F109" s="31"/>
      <c r="G109" s="31"/>
      <c r="H109" s="31"/>
      <c r="I109" s="31"/>
      <c r="J109" s="31"/>
      <c r="K109" s="31"/>
      <c r="L109" s="48"/>
    </row>
    <row r="110" spans="1:12">
      <c r="A110" t="s">
        <v>37</v>
      </c>
      <c r="B110" s="34"/>
      <c r="C110" s="39" t="s">
        <v>5</v>
      </c>
      <c r="D110" s="5" t="s">
        <v>6</v>
      </c>
      <c r="E110" s="5" t="s">
        <v>7</v>
      </c>
      <c r="F110" s="5" t="s">
        <v>8</v>
      </c>
      <c r="G110" s="5" t="str">
        <f>_xlfn.TEXTBEFORE(D110, " ", 1) &amp; " 4"</f>
        <v>Unit 4</v>
      </c>
      <c r="H110" s="5" t="s">
        <v>6</v>
      </c>
      <c r="I110" s="5" t="s">
        <v>7</v>
      </c>
      <c r="J110" s="5" t="s">
        <v>8</v>
      </c>
      <c r="K110" s="5" t="str">
        <f>_xlfn.TEXTBEFORE(H110, " ", 1) &amp; " 4"</f>
        <v>Unit 4</v>
      </c>
      <c r="L110" s="50">
        <f>COUNTIF(H116:K116,"Pass")*25%</f>
        <v>0.75</v>
      </c>
    </row>
    <row r="111" spans="1:12">
      <c r="B111" s="5" t="s">
        <v>9</v>
      </c>
      <c r="C111" s="121" t="s">
        <v>40</v>
      </c>
      <c r="D111" s="11" t="s">
        <v>11</v>
      </c>
      <c r="E111" s="11" t="s">
        <v>11</v>
      </c>
      <c r="F111" s="11" t="s">
        <v>11</v>
      </c>
      <c r="G111" s="11" t="s">
        <v>11</v>
      </c>
      <c r="H111" s="22" t="s">
        <v>11</v>
      </c>
      <c r="I111" s="22" t="s">
        <v>11</v>
      </c>
      <c r="J111" s="22" t="s">
        <v>11</v>
      </c>
      <c r="K111" s="22" t="s">
        <v>22</v>
      </c>
      <c r="L111" s="45"/>
    </row>
    <row r="112" spans="1:12">
      <c r="B112" s="5" t="s">
        <v>14</v>
      </c>
      <c r="C112" s="122"/>
      <c r="D112" s="11" t="s">
        <v>11</v>
      </c>
      <c r="E112" s="11" t="s">
        <v>11</v>
      </c>
      <c r="F112" s="11" t="s">
        <v>11</v>
      </c>
      <c r="G112" s="11" t="s">
        <v>11</v>
      </c>
      <c r="H112" s="22" t="s">
        <v>11</v>
      </c>
      <c r="I112" s="22" t="s">
        <v>11</v>
      </c>
      <c r="J112" s="22" t="s">
        <v>11</v>
      </c>
      <c r="K112" s="22" t="s">
        <v>22</v>
      </c>
      <c r="L112" s="45"/>
    </row>
    <row r="113" spans="1:12">
      <c r="B113" s="5" t="s">
        <v>15</v>
      </c>
      <c r="C113" s="122"/>
      <c r="D113" s="11" t="s">
        <v>11</v>
      </c>
      <c r="E113" s="11" t="s">
        <v>11</v>
      </c>
      <c r="F113" s="11" t="s">
        <v>11</v>
      </c>
      <c r="G113" s="11" t="s">
        <v>11</v>
      </c>
      <c r="H113" s="22" t="s">
        <v>11</v>
      </c>
      <c r="I113" s="22" t="s">
        <v>11</v>
      </c>
      <c r="J113" s="22" t="s">
        <v>11</v>
      </c>
      <c r="K113" s="22" t="s">
        <v>22</v>
      </c>
      <c r="L113" s="45"/>
    </row>
    <row r="114" spans="1:12">
      <c r="B114" s="9" t="s">
        <v>16</v>
      </c>
      <c r="C114" s="122"/>
      <c r="D114" s="11" t="s">
        <v>11</v>
      </c>
      <c r="E114" s="11" t="s">
        <v>11</v>
      </c>
      <c r="F114" s="11" t="s">
        <v>11</v>
      </c>
      <c r="G114" s="11" t="s">
        <v>11</v>
      </c>
      <c r="H114" s="22" t="s">
        <v>11</v>
      </c>
      <c r="I114" s="22" t="s">
        <v>11</v>
      </c>
      <c r="J114" s="22" t="s">
        <v>11</v>
      </c>
      <c r="K114" s="22" t="s">
        <v>22</v>
      </c>
      <c r="L114" s="45"/>
    </row>
    <row r="115" spans="1:12">
      <c r="B115" s="9" t="s">
        <v>17</v>
      </c>
      <c r="C115" s="122"/>
      <c r="D115" s="124"/>
      <c r="E115" s="154"/>
      <c r="F115" s="154"/>
      <c r="G115" s="155"/>
      <c r="H115" s="22" t="s">
        <v>11</v>
      </c>
      <c r="I115" s="22" t="s">
        <v>11</v>
      </c>
      <c r="J115" s="22" t="s">
        <v>11</v>
      </c>
      <c r="K115" s="22" t="s">
        <v>22</v>
      </c>
      <c r="L115" s="45"/>
    </row>
    <row r="116" spans="1:12">
      <c r="B116" s="9" t="s">
        <v>18</v>
      </c>
      <c r="C116" s="122"/>
      <c r="D116" s="11" t="s">
        <v>11</v>
      </c>
      <c r="E116" s="11" t="s">
        <v>11</v>
      </c>
      <c r="F116" s="11" t="s">
        <v>11</v>
      </c>
      <c r="G116" s="11" t="s">
        <v>11</v>
      </c>
      <c r="H116" s="11" t="s">
        <v>11</v>
      </c>
      <c r="I116" s="11" t="s">
        <v>11</v>
      </c>
      <c r="J116" s="11" t="s">
        <v>11</v>
      </c>
      <c r="K116" s="22" t="s">
        <v>22</v>
      </c>
      <c r="L116" s="45"/>
    </row>
    <row r="117" spans="1:12">
      <c r="B117" s="9" t="s">
        <v>19</v>
      </c>
      <c r="C117" s="123"/>
      <c r="D117" s="11"/>
      <c r="E117" s="11"/>
      <c r="F117" s="22"/>
      <c r="G117" s="11"/>
      <c r="H117" s="11"/>
      <c r="I117" s="11"/>
      <c r="J117" s="11"/>
      <c r="K117" s="11"/>
      <c r="L117" s="46"/>
    </row>
    <row r="118" spans="1:12">
      <c r="A118" s="7"/>
      <c r="B118" s="30"/>
      <c r="C118" s="32"/>
      <c r="D118" s="31"/>
      <c r="E118" s="31"/>
      <c r="F118" s="31"/>
      <c r="G118" s="31"/>
      <c r="H118" s="31"/>
      <c r="I118" s="31"/>
      <c r="J118" s="31"/>
      <c r="K118" s="31"/>
      <c r="L118" s="48"/>
    </row>
    <row r="119" spans="1:12">
      <c r="A119" t="s">
        <v>37</v>
      </c>
      <c r="B119" s="34"/>
      <c r="C119" s="39" t="s">
        <v>5</v>
      </c>
      <c r="D119" s="5" t="s">
        <v>6</v>
      </c>
      <c r="E119" s="5" t="s">
        <v>7</v>
      </c>
      <c r="F119" s="5" t="s">
        <v>8</v>
      </c>
      <c r="G119" s="5" t="str">
        <f>_xlfn.TEXTBEFORE(D119, " ", 1) &amp; " 4"</f>
        <v>Unit 4</v>
      </c>
      <c r="H119" s="5" t="s">
        <v>6</v>
      </c>
      <c r="I119" s="5" t="s">
        <v>7</v>
      </c>
      <c r="J119" s="5" t="s">
        <v>8</v>
      </c>
      <c r="K119" s="5" t="str">
        <f>_xlfn.TEXTBEFORE(H119, " ", 1) &amp; " 4"</f>
        <v>Unit 4</v>
      </c>
      <c r="L119" s="50">
        <f>COUNTIF(H125:K125,"Pass")*25%</f>
        <v>0.75</v>
      </c>
    </row>
    <row r="120" spans="1:12">
      <c r="B120" s="5" t="s">
        <v>9</v>
      </c>
      <c r="C120" s="121" t="s">
        <v>41</v>
      </c>
      <c r="D120" s="11" t="s">
        <v>11</v>
      </c>
      <c r="E120" s="22" t="s">
        <v>12</v>
      </c>
      <c r="F120" s="22" t="s">
        <v>11</v>
      </c>
      <c r="G120" s="11" t="s">
        <v>11</v>
      </c>
      <c r="H120" s="22" t="s">
        <v>11</v>
      </c>
      <c r="I120" s="22" t="s">
        <v>12</v>
      </c>
      <c r="J120" s="22" t="s">
        <v>11</v>
      </c>
      <c r="K120" s="22" t="s">
        <v>11</v>
      </c>
      <c r="L120" s="45"/>
    </row>
    <row r="121" spans="1:12">
      <c r="B121" s="5" t="s">
        <v>14</v>
      </c>
      <c r="C121" s="122"/>
      <c r="D121" s="11" t="s">
        <v>11</v>
      </c>
      <c r="E121" s="22" t="s">
        <v>12</v>
      </c>
      <c r="F121" s="22" t="s">
        <v>11</v>
      </c>
      <c r="G121" s="11" t="s">
        <v>11</v>
      </c>
      <c r="H121" s="22" t="s">
        <v>11</v>
      </c>
      <c r="I121" s="22" t="s">
        <v>12</v>
      </c>
      <c r="J121" s="22" t="s">
        <v>11</v>
      </c>
      <c r="K121" s="22" t="s">
        <v>11</v>
      </c>
      <c r="L121" s="45"/>
    </row>
    <row r="122" spans="1:12">
      <c r="B122" s="5" t="s">
        <v>15</v>
      </c>
      <c r="C122" s="122"/>
      <c r="D122" s="11" t="s">
        <v>11</v>
      </c>
      <c r="E122" s="22" t="s">
        <v>12</v>
      </c>
      <c r="F122" s="22" t="s">
        <v>11</v>
      </c>
      <c r="G122" s="11" t="s">
        <v>11</v>
      </c>
      <c r="H122" s="22" t="s">
        <v>11</v>
      </c>
      <c r="I122" s="22" t="s">
        <v>12</v>
      </c>
      <c r="J122" s="22" t="s">
        <v>11</v>
      </c>
      <c r="K122" s="22" t="s">
        <v>11</v>
      </c>
      <c r="L122" s="45"/>
    </row>
    <row r="123" spans="1:12">
      <c r="B123" s="9" t="s">
        <v>16</v>
      </c>
      <c r="C123" s="122"/>
      <c r="D123" s="11" t="s">
        <v>11</v>
      </c>
      <c r="E123" s="22" t="s">
        <v>12</v>
      </c>
      <c r="F123" s="22" t="s">
        <v>11</v>
      </c>
      <c r="G123" s="11" t="s">
        <v>11</v>
      </c>
      <c r="H123" s="22" t="s">
        <v>11</v>
      </c>
      <c r="I123" s="22" t="s">
        <v>12</v>
      </c>
      <c r="J123" s="22" t="s">
        <v>11</v>
      </c>
      <c r="K123" s="22" t="s">
        <v>11</v>
      </c>
      <c r="L123" s="45"/>
    </row>
    <row r="124" spans="1:12">
      <c r="B124" s="9" t="s">
        <v>17</v>
      </c>
      <c r="C124" s="122"/>
      <c r="D124" s="31"/>
      <c r="E124" s="65"/>
      <c r="F124" s="65"/>
      <c r="G124" s="64"/>
      <c r="H124" s="22" t="s">
        <v>11</v>
      </c>
      <c r="I124" s="22" t="s">
        <v>12</v>
      </c>
      <c r="J124" s="22" t="s">
        <v>11</v>
      </c>
      <c r="K124" s="22" t="s">
        <v>11</v>
      </c>
      <c r="L124" s="45"/>
    </row>
    <row r="125" spans="1:12">
      <c r="B125" s="9" t="s">
        <v>18</v>
      </c>
      <c r="C125" s="122"/>
      <c r="D125" s="11" t="s">
        <v>11</v>
      </c>
      <c r="E125" s="11" t="s">
        <v>12</v>
      </c>
      <c r="F125" s="11" t="s">
        <v>11</v>
      </c>
      <c r="G125" s="11" t="s">
        <v>11</v>
      </c>
      <c r="H125" s="11" t="s">
        <v>11</v>
      </c>
      <c r="I125" s="11" t="s">
        <v>12</v>
      </c>
      <c r="J125" s="11" t="s">
        <v>11</v>
      </c>
      <c r="K125" s="11" t="s">
        <v>11</v>
      </c>
      <c r="L125" s="45"/>
    </row>
    <row r="126" spans="1:12">
      <c r="B126" s="9" t="s">
        <v>19</v>
      </c>
      <c r="C126" s="123"/>
      <c r="D126" s="11"/>
      <c r="E126" s="11"/>
      <c r="F126" s="11"/>
      <c r="G126" s="11"/>
      <c r="H126" s="11"/>
      <c r="I126" s="11"/>
      <c r="J126" s="11"/>
      <c r="K126" s="11"/>
      <c r="L126" s="46"/>
    </row>
    <row r="127" spans="1:12" ht="15" customHeight="1">
      <c r="A127" s="7"/>
      <c r="B127" s="30"/>
      <c r="C127" s="32"/>
      <c r="D127" s="31"/>
      <c r="E127" s="31"/>
      <c r="F127" s="31"/>
      <c r="G127" s="31"/>
      <c r="H127" s="31"/>
      <c r="I127" s="31"/>
      <c r="J127" s="31"/>
      <c r="K127" s="31"/>
      <c r="L127" s="48"/>
    </row>
    <row r="128" spans="1:12" ht="15" customHeight="1">
      <c r="A128" t="s">
        <v>42</v>
      </c>
      <c r="B128" s="34"/>
      <c r="C128" s="39" t="s">
        <v>5</v>
      </c>
      <c r="D128" s="5" t="s">
        <v>6</v>
      </c>
      <c r="E128" s="5" t="s">
        <v>7</v>
      </c>
      <c r="F128" s="5" t="s">
        <v>8</v>
      </c>
      <c r="G128" s="5" t="str">
        <f>_xlfn.TEXTBEFORE(D128, " ", 1) &amp; " 4"</f>
        <v>Unit 4</v>
      </c>
      <c r="H128" s="5" t="s">
        <v>6</v>
      </c>
      <c r="I128" s="5" t="s">
        <v>7</v>
      </c>
      <c r="J128" s="5" t="s">
        <v>8</v>
      </c>
      <c r="K128" s="5" t="str">
        <f>_xlfn.TEXTBEFORE(H128, " ", 1) &amp; " 4"</f>
        <v>Unit 4</v>
      </c>
      <c r="L128" s="50">
        <f>COUNTIF(H134:J134,"Pass")*25%</f>
        <v>0.25</v>
      </c>
    </row>
    <row r="129" spans="1:12" ht="15" customHeight="1">
      <c r="B129" s="5" t="s">
        <v>9</v>
      </c>
      <c r="C129" s="121" t="s">
        <v>43</v>
      </c>
      <c r="D129" s="11" t="s">
        <v>11</v>
      </c>
      <c r="E129" s="11" t="s">
        <v>11</v>
      </c>
      <c r="F129" s="11" t="s">
        <v>11</v>
      </c>
      <c r="G129" s="11" t="s">
        <v>11</v>
      </c>
      <c r="H129" s="22" t="s">
        <v>22</v>
      </c>
      <c r="I129" s="22" t="s">
        <v>22</v>
      </c>
      <c r="J129" s="22" t="s">
        <v>11</v>
      </c>
      <c r="K129" s="22" t="s">
        <v>11</v>
      </c>
      <c r="L129" s="45"/>
    </row>
    <row r="130" spans="1:12" ht="15" customHeight="1">
      <c r="B130" s="5" t="s">
        <v>14</v>
      </c>
      <c r="C130" s="122"/>
      <c r="D130" s="11" t="s">
        <v>22</v>
      </c>
      <c r="E130" s="11" t="s">
        <v>22</v>
      </c>
      <c r="F130" s="11" t="s">
        <v>11</v>
      </c>
      <c r="G130" s="11" t="s">
        <v>11</v>
      </c>
      <c r="H130" s="22" t="s">
        <v>22</v>
      </c>
      <c r="I130" s="22" t="s">
        <v>22</v>
      </c>
      <c r="J130" s="22" t="s">
        <v>11</v>
      </c>
      <c r="K130" s="22" t="s">
        <v>11</v>
      </c>
      <c r="L130" s="45"/>
    </row>
    <row r="131" spans="1:12" ht="15" customHeight="1">
      <c r="B131" s="5" t="s">
        <v>15</v>
      </c>
      <c r="C131" s="122"/>
      <c r="D131" s="11" t="s">
        <v>22</v>
      </c>
      <c r="E131" s="11" t="s">
        <v>22</v>
      </c>
      <c r="F131" s="11" t="s">
        <v>11</v>
      </c>
      <c r="G131" s="11" t="s">
        <v>11</v>
      </c>
      <c r="H131" s="22" t="s">
        <v>22</v>
      </c>
      <c r="I131" s="22" t="s">
        <v>22</v>
      </c>
      <c r="J131" s="22" t="s">
        <v>11</v>
      </c>
      <c r="K131" s="22" t="s">
        <v>11</v>
      </c>
      <c r="L131" s="45"/>
    </row>
    <row r="132" spans="1:12" ht="15" customHeight="1">
      <c r="B132" s="9" t="s">
        <v>16</v>
      </c>
      <c r="C132" s="122"/>
      <c r="D132" s="11" t="s">
        <v>22</v>
      </c>
      <c r="E132" s="11" t="s">
        <v>22</v>
      </c>
      <c r="F132" s="11" t="s">
        <v>11</v>
      </c>
      <c r="G132" s="11" t="s">
        <v>11</v>
      </c>
      <c r="H132" s="22" t="s">
        <v>22</v>
      </c>
      <c r="I132" s="22" t="s">
        <v>22</v>
      </c>
      <c r="J132" s="22" t="s">
        <v>11</v>
      </c>
      <c r="K132" s="22" t="s">
        <v>11</v>
      </c>
      <c r="L132" s="45"/>
    </row>
    <row r="133" spans="1:12" ht="15" customHeight="1">
      <c r="B133" s="9" t="s">
        <v>17</v>
      </c>
      <c r="C133" s="122"/>
      <c r="D133" s="124"/>
      <c r="E133" s="154"/>
      <c r="F133" s="154"/>
      <c r="G133" s="155"/>
      <c r="H133" s="22" t="s">
        <v>22</v>
      </c>
      <c r="I133" s="22" t="s">
        <v>22</v>
      </c>
      <c r="J133" s="22" t="s">
        <v>11</v>
      </c>
      <c r="K133" s="22" t="s">
        <v>11</v>
      </c>
      <c r="L133" s="45"/>
    </row>
    <row r="134" spans="1:12" ht="15" customHeight="1">
      <c r="B134" s="9" t="s">
        <v>18</v>
      </c>
      <c r="C134" s="122"/>
      <c r="D134" s="11" t="s">
        <v>22</v>
      </c>
      <c r="E134" s="11" t="s">
        <v>22</v>
      </c>
      <c r="F134" s="11" t="s">
        <v>11</v>
      </c>
      <c r="G134" s="11" t="s">
        <v>11</v>
      </c>
      <c r="H134" s="22" t="s">
        <v>22</v>
      </c>
      <c r="I134" s="22" t="s">
        <v>22</v>
      </c>
      <c r="J134" s="11" t="s">
        <v>11</v>
      </c>
      <c r="K134" s="11" t="s">
        <v>11</v>
      </c>
      <c r="L134" s="45"/>
    </row>
    <row r="135" spans="1:12" ht="15" customHeight="1">
      <c r="B135" s="9" t="s">
        <v>19</v>
      </c>
      <c r="C135" s="123"/>
      <c r="D135" s="11" t="s">
        <v>23</v>
      </c>
      <c r="E135" s="11" t="s">
        <v>23</v>
      </c>
      <c r="F135" s="11"/>
      <c r="G135" s="11"/>
      <c r="H135" s="11"/>
      <c r="I135" s="11"/>
      <c r="J135" s="11"/>
      <c r="K135" s="11"/>
      <c r="L135" s="46"/>
    </row>
    <row r="136" spans="1:12" ht="15" customHeight="1">
      <c r="A136" s="7"/>
      <c r="B136" s="57"/>
      <c r="C136" s="58"/>
      <c r="D136" s="31"/>
      <c r="E136" s="31"/>
      <c r="F136" s="31"/>
      <c r="G136" s="31"/>
      <c r="H136" s="31"/>
      <c r="I136" s="31"/>
      <c r="J136" s="31"/>
      <c r="K136" s="31"/>
      <c r="L136" s="59"/>
    </row>
    <row r="137" spans="1:12" ht="15" customHeight="1">
      <c r="A137" t="s">
        <v>42</v>
      </c>
      <c r="B137" s="34"/>
      <c r="C137" s="39" t="s">
        <v>5</v>
      </c>
      <c r="D137" s="5" t="s">
        <v>6</v>
      </c>
      <c r="E137" s="5" t="s">
        <v>7</v>
      </c>
      <c r="F137" s="5" t="s">
        <v>8</v>
      </c>
      <c r="G137" s="5" t="str">
        <f>_xlfn.TEXTBEFORE(D137, " ", 1) &amp; " 4"</f>
        <v>Unit 4</v>
      </c>
      <c r="H137" s="5" t="s">
        <v>6</v>
      </c>
      <c r="I137" s="5" t="s">
        <v>7</v>
      </c>
      <c r="J137" s="5" t="s">
        <v>8</v>
      </c>
      <c r="K137" s="5" t="str">
        <f>_xlfn.TEXTBEFORE(H137, " ", 1) &amp; " 4"</f>
        <v>Unit 4</v>
      </c>
      <c r="L137" s="50">
        <f>COUNTIF(H143:K143,"Pass")*25%</f>
        <v>0.75</v>
      </c>
    </row>
    <row r="138" spans="1:12" ht="15" customHeight="1">
      <c r="B138" s="5" t="s">
        <v>9</v>
      </c>
      <c r="C138" s="121" t="s">
        <v>44</v>
      </c>
      <c r="D138" s="11" t="s">
        <v>11</v>
      </c>
      <c r="E138" s="11" t="s">
        <v>11</v>
      </c>
      <c r="F138" s="11" t="s">
        <v>11</v>
      </c>
      <c r="G138" s="11" t="s">
        <v>11</v>
      </c>
      <c r="H138" s="22" t="s">
        <v>11</v>
      </c>
      <c r="I138" s="22" t="s">
        <v>11</v>
      </c>
      <c r="J138" s="22" t="s">
        <v>22</v>
      </c>
      <c r="K138" s="22" t="s">
        <v>11</v>
      </c>
      <c r="L138" s="45"/>
    </row>
    <row r="139" spans="1:12" ht="15" customHeight="1">
      <c r="B139" s="5" t="s">
        <v>14</v>
      </c>
      <c r="C139" s="122"/>
      <c r="D139" s="11" t="s">
        <v>11</v>
      </c>
      <c r="E139" s="11" t="s">
        <v>11</v>
      </c>
      <c r="F139" s="11" t="s">
        <v>11</v>
      </c>
      <c r="G139" s="11" t="s">
        <v>11</v>
      </c>
      <c r="H139" s="22" t="s">
        <v>11</v>
      </c>
      <c r="I139" s="22" t="s">
        <v>11</v>
      </c>
      <c r="J139" s="22" t="s">
        <v>22</v>
      </c>
      <c r="K139" s="22" t="s">
        <v>11</v>
      </c>
      <c r="L139" s="45"/>
    </row>
    <row r="140" spans="1:12" ht="15" customHeight="1">
      <c r="B140" s="5" t="s">
        <v>15</v>
      </c>
      <c r="C140" s="122"/>
      <c r="D140" s="11" t="s">
        <v>11</v>
      </c>
      <c r="E140" s="11" t="s">
        <v>11</v>
      </c>
      <c r="F140" s="11" t="s">
        <v>22</v>
      </c>
      <c r="G140" s="11" t="s">
        <v>11</v>
      </c>
      <c r="H140" s="22" t="s">
        <v>11</v>
      </c>
      <c r="I140" s="22" t="s">
        <v>11</v>
      </c>
      <c r="J140" s="22" t="s">
        <v>22</v>
      </c>
      <c r="K140" s="22" t="s">
        <v>11</v>
      </c>
      <c r="L140" s="45"/>
    </row>
    <row r="141" spans="1:12" ht="15" customHeight="1">
      <c r="B141" s="9" t="s">
        <v>16</v>
      </c>
      <c r="C141" s="122"/>
      <c r="D141" s="11" t="s">
        <v>11</v>
      </c>
      <c r="E141" s="11" t="s">
        <v>11</v>
      </c>
      <c r="F141" s="11" t="s">
        <v>11</v>
      </c>
      <c r="G141" s="11" t="s">
        <v>11</v>
      </c>
      <c r="H141" s="22" t="s">
        <v>11</v>
      </c>
      <c r="I141" s="22" t="s">
        <v>11</v>
      </c>
      <c r="J141" s="22" t="s">
        <v>22</v>
      </c>
      <c r="K141" s="22" t="s">
        <v>11</v>
      </c>
      <c r="L141" s="45"/>
    </row>
    <row r="142" spans="1:12" ht="15" customHeight="1">
      <c r="B142" s="9" t="s">
        <v>17</v>
      </c>
      <c r="C142" s="122"/>
      <c r="D142" s="124"/>
      <c r="E142" s="154"/>
      <c r="F142" s="154"/>
      <c r="G142" s="155"/>
      <c r="H142" s="22" t="s">
        <v>11</v>
      </c>
      <c r="I142" s="22" t="s">
        <v>11</v>
      </c>
      <c r="J142" s="22" t="s">
        <v>22</v>
      </c>
      <c r="K142" s="22" t="s">
        <v>11</v>
      </c>
      <c r="L142" s="45"/>
    </row>
    <row r="143" spans="1:12" ht="15" customHeight="1">
      <c r="B143" s="9" t="s">
        <v>18</v>
      </c>
      <c r="C143" s="122"/>
      <c r="D143" s="11" t="s">
        <v>11</v>
      </c>
      <c r="E143" s="11" t="s">
        <v>11</v>
      </c>
      <c r="F143" s="11" t="s">
        <v>22</v>
      </c>
      <c r="G143" s="11" t="s">
        <v>11</v>
      </c>
      <c r="H143" s="11" t="s">
        <v>11</v>
      </c>
      <c r="I143" s="11" t="s">
        <v>11</v>
      </c>
      <c r="J143" s="22" t="s">
        <v>22</v>
      </c>
      <c r="K143" s="11" t="s">
        <v>11</v>
      </c>
      <c r="L143" s="45"/>
    </row>
    <row r="144" spans="1:12" ht="15" customHeight="1">
      <c r="B144" s="9" t="s">
        <v>19</v>
      </c>
      <c r="C144" s="123"/>
      <c r="D144" s="11"/>
      <c r="E144" s="11"/>
      <c r="F144" s="11" t="s">
        <v>45</v>
      </c>
      <c r="G144" s="11"/>
      <c r="H144" s="11"/>
      <c r="I144" s="11"/>
      <c r="J144" s="11"/>
      <c r="K144" s="11"/>
      <c r="L144" s="46"/>
    </row>
    <row r="145" spans="1:12" ht="15" customHeight="1">
      <c r="A145" s="7"/>
      <c r="B145" s="57"/>
      <c r="C145" s="58"/>
      <c r="D145" s="31"/>
      <c r="E145" s="31"/>
      <c r="F145" s="31"/>
      <c r="G145" s="31"/>
      <c r="H145" s="31"/>
      <c r="I145" s="31"/>
      <c r="J145" s="31"/>
      <c r="K145" s="31"/>
      <c r="L145" s="59"/>
    </row>
    <row r="146" spans="1:12" ht="15" customHeight="1">
      <c r="A146" t="s">
        <v>42</v>
      </c>
      <c r="B146" s="34"/>
      <c r="C146" s="39" t="s">
        <v>5</v>
      </c>
      <c r="D146" s="5" t="s">
        <v>6</v>
      </c>
      <c r="E146" s="5" t="s">
        <v>7</v>
      </c>
      <c r="F146" s="5" t="s">
        <v>8</v>
      </c>
      <c r="G146" s="5" t="str">
        <f>_xlfn.TEXTBEFORE(D146, " ", 1) &amp; " 4"</f>
        <v>Unit 4</v>
      </c>
      <c r="H146" s="5" t="s">
        <v>6</v>
      </c>
      <c r="I146" s="5" t="s">
        <v>7</v>
      </c>
      <c r="J146" s="5" t="s">
        <v>8</v>
      </c>
      <c r="K146" s="5" t="str">
        <f>_xlfn.TEXTBEFORE(H146, " ", 1) &amp; " 4"</f>
        <v>Unit 4</v>
      </c>
      <c r="L146" s="50">
        <f>COUNTIF(H152:K152,"Pass")*25%</f>
        <v>1</v>
      </c>
    </row>
    <row r="147" spans="1:12" ht="15" customHeight="1">
      <c r="B147" s="5" t="s">
        <v>9</v>
      </c>
      <c r="C147" s="121" t="s">
        <v>46</v>
      </c>
      <c r="D147" s="11" t="s">
        <v>11</v>
      </c>
      <c r="E147" s="11" t="s">
        <v>11</v>
      </c>
      <c r="F147" s="11" t="s">
        <v>11</v>
      </c>
      <c r="G147" s="11" t="s">
        <v>11</v>
      </c>
      <c r="H147" s="22" t="s">
        <v>11</v>
      </c>
      <c r="I147" s="22" t="s">
        <v>11</v>
      </c>
      <c r="J147" s="22" t="s">
        <v>11</v>
      </c>
      <c r="K147" s="22" t="s">
        <v>11</v>
      </c>
      <c r="L147" s="45"/>
    </row>
    <row r="148" spans="1:12" ht="15" customHeight="1">
      <c r="B148" s="5" t="s">
        <v>14</v>
      </c>
      <c r="C148" s="122"/>
      <c r="D148" s="11" t="s">
        <v>11</v>
      </c>
      <c r="E148" s="11" t="s">
        <v>11</v>
      </c>
      <c r="F148" s="11" t="s">
        <v>11</v>
      </c>
      <c r="G148" s="11" t="s">
        <v>11</v>
      </c>
      <c r="H148" s="22" t="s">
        <v>11</v>
      </c>
      <c r="I148" s="22" t="s">
        <v>11</v>
      </c>
      <c r="J148" s="22" t="s">
        <v>11</v>
      </c>
      <c r="K148" s="22" t="s">
        <v>11</v>
      </c>
      <c r="L148" s="45"/>
    </row>
    <row r="149" spans="1:12" ht="15" customHeight="1">
      <c r="B149" s="5" t="s">
        <v>15</v>
      </c>
      <c r="C149" s="122"/>
      <c r="D149" s="11" t="s">
        <v>11</v>
      </c>
      <c r="E149" s="11" t="s">
        <v>11</v>
      </c>
      <c r="F149" s="11" t="s">
        <v>11</v>
      </c>
      <c r="G149" s="11" t="s">
        <v>11</v>
      </c>
      <c r="H149" s="22" t="s">
        <v>11</v>
      </c>
      <c r="I149" s="22" t="s">
        <v>11</v>
      </c>
      <c r="J149" s="22" t="s">
        <v>11</v>
      </c>
      <c r="K149" s="22" t="s">
        <v>11</v>
      </c>
      <c r="L149" s="45"/>
    </row>
    <row r="150" spans="1:12" ht="15" customHeight="1">
      <c r="B150" s="9" t="s">
        <v>16</v>
      </c>
      <c r="C150" s="122"/>
      <c r="D150" s="11" t="s">
        <v>11</v>
      </c>
      <c r="E150" s="11" t="s">
        <v>11</v>
      </c>
      <c r="F150" s="11" t="s">
        <v>11</v>
      </c>
      <c r="G150" s="11" t="s">
        <v>11</v>
      </c>
      <c r="H150" s="22" t="s">
        <v>11</v>
      </c>
      <c r="I150" s="22" t="s">
        <v>11</v>
      </c>
      <c r="J150" s="22" t="s">
        <v>11</v>
      </c>
      <c r="K150" s="22" t="s">
        <v>11</v>
      </c>
      <c r="L150" s="45"/>
    </row>
    <row r="151" spans="1:12" ht="15" customHeight="1">
      <c r="B151" s="9" t="s">
        <v>17</v>
      </c>
      <c r="C151" s="122"/>
      <c r="D151" s="124"/>
      <c r="E151" s="154"/>
      <c r="F151" s="154"/>
      <c r="G151" s="155"/>
      <c r="H151" s="22" t="s">
        <v>11</v>
      </c>
      <c r="I151" s="22" t="s">
        <v>11</v>
      </c>
      <c r="J151" s="22" t="s">
        <v>11</v>
      </c>
      <c r="K151" s="22" t="s">
        <v>11</v>
      </c>
      <c r="L151" s="45"/>
    </row>
    <row r="152" spans="1:12" ht="15" customHeight="1">
      <c r="B152" s="9" t="s">
        <v>18</v>
      </c>
      <c r="C152" s="122"/>
      <c r="D152" s="11" t="s">
        <v>11</v>
      </c>
      <c r="E152" s="11" t="s">
        <v>11</v>
      </c>
      <c r="F152" s="11" t="s">
        <v>11</v>
      </c>
      <c r="G152" s="11" t="s">
        <v>11</v>
      </c>
      <c r="H152" s="11" t="s">
        <v>11</v>
      </c>
      <c r="I152" s="11" t="s">
        <v>11</v>
      </c>
      <c r="J152" s="11" t="s">
        <v>11</v>
      </c>
      <c r="K152" s="11" t="s">
        <v>11</v>
      </c>
      <c r="L152" s="45"/>
    </row>
    <row r="153" spans="1:12" ht="15" customHeight="1">
      <c r="B153" s="9" t="s">
        <v>19</v>
      </c>
      <c r="C153" s="123"/>
      <c r="D153" s="11"/>
      <c r="E153" s="11"/>
      <c r="F153" s="11"/>
      <c r="G153" s="11"/>
      <c r="H153" s="11"/>
      <c r="I153" s="11"/>
      <c r="J153" s="11"/>
      <c r="K153" s="11"/>
      <c r="L153" s="46"/>
    </row>
    <row r="154" spans="1:12" ht="15" customHeight="1">
      <c r="A154" s="7"/>
      <c r="B154" s="57"/>
      <c r="C154" s="58"/>
      <c r="D154" s="31"/>
      <c r="E154" s="31"/>
      <c r="F154" s="31"/>
      <c r="G154" s="31"/>
      <c r="H154" s="31"/>
      <c r="I154" s="31"/>
      <c r="J154" s="31"/>
      <c r="K154" s="31"/>
      <c r="L154" s="59"/>
    </row>
    <row r="155" spans="1:12" ht="15" customHeight="1">
      <c r="A155" t="s">
        <v>42</v>
      </c>
      <c r="B155" s="34"/>
      <c r="C155" s="39" t="s">
        <v>5</v>
      </c>
      <c r="D155" s="5" t="s">
        <v>6</v>
      </c>
      <c r="E155" s="5" t="s">
        <v>7</v>
      </c>
      <c r="F155" s="5" t="s">
        <v>8</v>
      </c>
      <c r="G155" s="5" t="str">
        <f>_xlfn.TEXTBEFORE(D155, " ", 1) &amp; " 4"</f>
        <v>Unit 4</v>
      </c>
      <c r="H155" s="5" t="s">
        <v>6</v>
      </c>
      <c r="I155" s="5" t="s">
        <v>7</v>
      </c>
      <c r="J155" s="5" t="s">
        <v>8</v>
      </c>
      <c r="K155" s="5" t="str">
        <f>_xlfn.TEXTBEFORE(H155, " ", 1) &amp; " 4"</f>
        <v>Unit 4</v>
      </c>
      <c r="L155" s="50">
        <f>COUNTIF(H161:K161,"Pass")*25%</f>
        <v>0.5</v>
      </c>
    </row>
    <row r="156" spans="1:12" ht="15" customHeight="1">
      <c r="B156" s="5" t="s">
        <v>9</v>
      </c>
      <c r="C156" s="121" t="s">
        <v>47</v>
      </c>
      <c r="D156" s="11" t="s">
        <v>11</v>
      </c>
      <c r="E156" s="11" t="s">
        <v>11</v>
      </c>
      <c r="F156" s="11" t="s">
        <v>11</v>
      </c>
      <c r="G156" s="11" t="s">
        <v>11</v>
      </c>
      <c r="H156" s="22" t="s">
        <v>11</v>
      </c>
      <c r="I156" s="22" t="s">
        <v>11</v>
      </c>
      <c r="J156" s="22" t="s">
        <v>11</v>
      </c>
      <c r="K156" s="22" t="s">
        <v>11</v>
      </c>
      <c r="L156" s="45"/>
    </row>
    <row r="157" spans="1:12" ht="15" customHeight="1">
      <c r="B157" s="5" t="s">
        <v>14</v>
      </c>
      <c r="C157" s="122"/>
      <c r="D157" s="11" t="s">
        <v>11</v>
      </c>
      <c r="E157" s="11" t="s">
        <v>11</v>
      </c>
      <c r="F157" s="11" t="s">
        <v>11</v>
      </c>
      <c r="G157" s="11" t="s">
        <v>11</v>
      </c>
      <c r="H157" s="22" t="s">
        <v>11</v>
      </c>
      <c r="I157" s="22" t="s">
        <v>11</v>
      </c>
      <c r="J157" s="22" t="s">
        <v>11</v>
      </c>
      <c r="K157" s="22" t="s">
        <v>11</v>
      </c>
      <c r="L157" s="45"/>
    </row>
    <row r="158" spans="1:12" ht="15" customHeight="1">
      <c r="B158" s="5" t="s">
        <v>15</v>
      </c>
      <c r="C158" s="122"/>
      <c r="D158" s="11" t="s">
        <v>11</v>
      </c>
      <c r="E158" s="11" t="s">
        <v>11</v>
      </c>
      <c r="F158" s="11" t="s">
        <v>11</v>
      </c>
      <c r="G158" s="11" t="s">
        <v>11</v>
      </c>
      <c r="H158" s="22" t="s">
        <v>11</v>
      </c>
      <c r="I158" s="22" t="s">
        <v>11</v>
      </c>
      <c r="J158" s="22" t="s">
        <v>11</v>
      </c>
      <c r="K158" s="22" t="s">
        <v>11</v>
      </c>
      <c r="L158" s="45"/>
    </row>
    <row r="159" spans="1:12" ht="15" customHeight="1">
      <c r="B159" s="9" t="s">
        <v>16</v>
      </c>
      <c r="C159" s="122"/>
      <c r="D159" s="11" t="s">
        <v>11</v>
      </c>
      <c r="E159" s="11" t="s">
        <v>11</v>
      </c>
      <c r="F159" s="11" t="s">
        <v>11</v>
      </c>
      <c r="G159" s="11" t="s">
        <v>11</v>
      </c>
      <c r="H159" s="22" t="s">
        <v>11</v>
      </c>
      <c r="I159" s="22" t="s">
        <v>11</v>
      </c>
      <c r="J159" s="22" t="s">
        <v>11</v>
      </c>
      <c r="K159" s="22" t="s">
        <v>11</v>
      </c>
      <c r="L159" s="45"/>
    </row>
    <row r="160" spans="1:12" ht="15" customHeight="1">
      <c r="B160" s="9" t="s">
        <v>17</v>
      </c>
      <c r="C160" s="122"/>
      <c r="D160" s="124"/>
      <c r="E160" s="154"/>
      <c r="F160" s="154"/>
      <c r="G160" s="155"/>
      <c r="H160" s="22" t="s">
        <v>11</v>
      </c>
      <c r="I160" s="22" t="s">
        <v>22</v>
      </c>
      <c r="J160" s="22" t="s">
        <v>11</v>
      </c>
      <c r="K160" s="22" t="s">
        <v>22</v>
      </c>
      <c r="L160" s="45"/>
    </row>
    <row r="161" spans="1:12" ht="15" customHeight="1">
      <c r="B161" s="9" t="s">
        <v>18</v>
      </c>
      <c r="C161" s="122"/>
      <c r="D161" s="11" t="s">
        <v>11</v>
      </c>
      <c r="E161" s="11" t="s">
        <v>11</v>
      </c>
      <c r="F161" s="11" t="s">
        <v>11</v>
      </c>
      <c r="G161" s="11" t="s">
        <v>11</v>
      </c>
      <c r="H161" s="11" t="s">
        <v>11</v>
      </c>
      <c r="I161" s="22"/>
      <c r="J161" s="11" t="s">
        <v>11</v>
      </c>
      <c r="K161" s="22"/>
      <c r="L161" s="45"/>
    </row>
    <row r="162" spans="1:12" ht="15" customHeight="1">
      <c r="B162" s="9" t="s">
        <v>19</v>
      </c>
      <c r="C162" s="123"/>
      <c r="D162" s="11"/>
      <c r="E162" s="11"/>
      <c r="F162" s="11"/>
      <c r="G162" s="11"/>
      <c r="I162" s="11" t="s">
        <v>48</v>
      </c>
      <c r="K162" s="11" t="s">
        <v>48</v>
      </c>
      <c r="L162" s="46"/>
    </row>
    <row r="163" spans="1:12" ht="15" customHeight="1">
      <c r="A163" s="7"/>
      <c r="B163" s="57"/>
      <c r="C163" s="58"/>
      <c r="D163" s="31"/>
      <c r="E163" s="31"/>
      <c r="F163" s="31"/>
      <c r="G163" s="31"/>
      <c r="H163" s="31"/>
      <c r="I163" s="31"/>
      <c r="J163" s="31"/>
      <c r="K163" s="31"/>
      <c r="L163" s="59"/>
    </row>
    <row r="164" spans="1:12" ht="15" customHeight="1">
      <c r="A164" t="s">
        <v>42</v>
      </c>
      <c r="B164" s="34"/>
      <c r="C164" s="39" t="s">
        <v>5</v>
      </c>
      <c r="D164" s="5" t="s">
        <v>6</v>
      </c>
      <c r="E164" s="5" t="s">
        <v>7</v>
      </c>
      <c r="F164" s="5" t="s">
        <v>8</v>
      </c>
      <c r="G164" s="5" t="str">
        <f>_xlfn.TEXTBEFORE(D164, " ", 1) &amp; " 4"</f>
        <v>Unit 4</v>
      </c>
      <c r="H164" s="5" t="s">
        <v>6</v>
      </c>
      <c r="I164" s="5" t="s">
        <v>7</v>
      </c>
      <c r="J164" s="5" t="s">
        <v>8</v>
      </c>
      <c r="K164" s="5" t="str">
        <f>_xlfn.TEXTBEFORE(H164, " ", 1) &amp; " 4"</f>
        <v>Unit 4</v>
      </c>
      <c r="L164" s="50">
        <f>COUNTIF(H170:K170,"Pass")*25%</f>
        <v>0.5</v>
      </c>
    </row>
    <row r="165" spans="1:12" ht="15" customHeight="1">
      <c r="B165" s="5" t="s">
        <v>9</v>
      </c>
      <c r="C165" s="121" t="s">
        <v>49</v>
      </c>
      <c r="D165" s="11" t="s">
        <v>11</v>
      </c>
      <c r="E165" s="11" t="s">
        <v>11</v>
      </c>
      <c r="F165" s="11" t="s">
        <v>11</v>
      </c>
      <c r="G165" s="11" t="s">
        <v>11</v>
      </c>
      <c r="H165" s="22" t="s">
        <v>11</v>
      </c>
      <c r="I165" s="22" t="s">
        <v>11</v>
      </c>
      <c r="J165" s="22" t="s">
        <v>11</v>
      </c>
      <c r="K165" s="22" t="s">
        <v>11</v>
      </c>
      <c r="L165" s="45"/>
    </row>
    <row r="166" spans="1:12" ht="15" customHeight="1">
      <c r="B166" s="5" t="s">
        <v>14</v>
      </c>
      <c r="C166" s="122"/>
      <c r="D166" s="11" t="s">
        <v>11</v>
      </c>
      <c r="E166" s="11" t="s">
        <v>11</v>
      </c>
      <c r="F166" s="11" t="s">
        <v>11</v>
      </c>
      <c r="G166" s="11" t="s">
        <v>11</v>
      </c>
      <c r="H166" s="22" t="s">
        <v>11</v>
      </c>
      <c r="I166" s="22" t="s">
        <v>11</v>
      </c>
      <c r="J166" s="22" t="s">
        <v>11</v>
      </c>
      <c r="K166" s="22" t="s">
        <v>11</v>
      </c>
      <c r="L166" s="45"/>
    </row>
    <row r="167" spans="1:12" ht="15" customHeight="1">
      <c r="B167" s="5" t="s">
        <v>15</v>
      </c>
      <c r="C167" s="122"/>
      <c r="D167" s="11" t="s">
        <v>11</v>
      </c>
      <c r="E167" s="11" t="s">
        <v>11</v>
      </c>
      <c r="F167" s="11" t="s">
        <v>11</v>
      </c>
      <c r="G167" s="11" t="s">
        <v>11</v>
      </c>
      <c r="H167" s="22" t="s">
        <v>11</v>
      </c>
      <c r="I167" s="22" t="s">
        <v>11</v>
      </c>
      <c r="J167" s="22" t="s">
        <v>11</v>
      </c>
      <c r="K167" s="22" t="s">
        <v>11</v>
      </c>
      <c r="L167" s="45"/>
    </row>
    <row r="168" spans="1:12" ht="15" customHeight="1">
      <c r="B168" s="9" t="s">
        <v>16</v>
      </c>
      <c r="C168" s="122"/>
      <c r="D168" s="11" t="s">
        <v>11</v>
      </c>
      <c r="E168" s="11" t="s">
        <v>11</v>
      </c>
      <c r="F168" s="11" t="s">
        <v>22</v>
      </c>
      <c r="G168" s="11" t="s">
        <v>11</v>
      </c>
      <c r="H168" s="22" t="s">
        <v>11</v>
      </c>
      <c r="I168" s="22" t="s">
        <v>11</v>
      </c>
      <c r="J168" s="22" t="s">
        <v>22</v>
      </c>
      <c r="K168" s="22" t="s">
        <v>11</v>
      </c>
      <c r="L168" s="45"/>
    </row>
    <row r="169" spans="1:12" ht="15" customHeight="1">
      <c r="B169" s="9" t="s">
        <v>17</v>
      </c>
      <c r="C169" s="122"/>
      <c r="D169" s="124"/>
      <c r="E169" s="154"/>
      <c r="F169" s="154"/>
      <c r="G169" s="155"/>
      <c r="H169" s="22" t="s">
        <v>22</v>
      </c>
      <c r="I169" s="22" t="s">
        <v>11</v>
      </c>
      <c r="J169" s="22" t="s">
        <v>22</v>
      </c>
      <c r="K169" s="22" t="s">
        <v>11</v>
      </c>
      <c r="L169" s="45"/>
    </row>
    <row r="170" spans="1:12" ht="15" customHeight="1">
      <c r="B170" s="9" t="s">
        <v>18</v>
      </c>
      <c r="C170" s="122"/>
      <c r="D170" s="11" t="s">
        <v>11</v>
      </c>
      <c r="E170" s="11" t="s">
        <v>11</v>
      </c>
      <c r="F170" s="11" t="s">
        <v>22</v>
      </c>
      <c r="G170" s="11" t="s">
        <v>11</v>
      </c>
      <c r="H170" s="11"/>
      <c r="I170" s="11" t="s">
        <v>11</v>
      </c>
      <c r="J170" s="22" t="s">
        <v>22</v>
      </c>
      <c r="K170" s="11" t="s">
        <v>11</v>
      </c>
      <c r="L170" s="45"/>
    </row>
    <row r="171" spans="1:12" ht="15" customHeight="1">
      <c r="B171" s="9" t="s">
        <v>19</v>
      </c>
      <c r="C171" s="123"/>
      <c r="D171" s="11"/>
      <c r="E171" s="11"/>
      <c r="F171" s="11" t="s">
        <v>50</v>
      </c>
      <c r="G171" s="11"/>
      <c r="H171" s="11" t="s">
        <v>48</v>
      </c>
      <c r="I171" s="11"/>
      <c r="J171" s="11"/>
      <c r="K171" s="11"/>
      <c r="L171" s="46"/>
    </row>
    <row r="172" spans="1:12" ht="15" customHeight="1">
      <c r="A172" s="7"/>
      <c r="B172" s="57"/>
      <c r="C172" s="58"/>
      <c r="D172" s="31"/>
      <c r="E172" s="31"/>
      <c r="F172" s="31"/>
      <c r="G172" s="31"/>
      <c r="H172" s="31"/>
      <c r="I172" s="31"/>
      <c r="J172" s="31"/>
      <c r="K172" s="31"/>
      <c r="L172" s="59"/>
    </row>
    <row r="173" spans="1:12" ht="15" customHeight="1">
      <c r="A173" t="s">
        <v>42</v>
      </c>
      <c r="B173" s="34"/>
      <c r="C173" s="39" t="s">
        <v>5</v>
      </c>
      <c r="D173" s="5" t="s">
        <v>6</v>
      </c>
      <c r="E173" s="5" t="s">
        <v>7</v>
      </c>
      <c r="F173" s="5" t="s">
        <v>8</v>
      </c>
      <c r="G173" s="5" t="str">
        <f>_xlfn.TEXTBEFORE(D173, " ", 1) &amp; " 4"</f>
        <v>Unit 4</v>
      </c>
      <c r="H173" s="5" t="s">
        <v>6</v>
      </c>
      <c r="I173" s="5" t="s">
        <v>7</v>
      </c>
      <c r="J173" s="5" t="s">
        <v>8</v>
      </c>
      <c r="K173" s="5" t="str">
        <f>_xlfn.TEXTBEFORE(H173, " ", 1) &amp; " 4"</f>
        <v>Unit 4</v>
      </c>
      <c r="L173" s="50">
        <f>COUNTIF(H179:K179,"Pass")*25%</f>
        <v>1</v>
      </c>
    </row>
    <row r="174" spans="1:12" ht="15" customHeight="1">
      <c r="B174" s="5" t="s">
        <v>9</v>
      </c>
      <c r="C174" s="121" t="s">
        <v>51</v>
      </c>
      <c r="D174" s="11" t="s">
        <v>11</v>
      </c>
      <c r="E174" s="11" t="s">
        <v>11</v>
      </c>
      <c r="F174" s="11" t="s">
        <v>11</v>
      </c>
      <c r="G174" s="11" t="s">
        <v>11</v>
      </c>
      <c r="H174" s="22" t="s">
        <v>11</v>
      </c>
      <c r="I174" s="22" t="s">
        <v>11</v>
      </c>
      <c r="J174" s="22" t="s">
        <v>11</v>
      </c>
      <c r="K174" s="22" t="s">
        <v>11</v>
      </c>
      <c r="L174" s="45"/>
    </row>
    <row r="175" spans="1:12" ht="15" customHeight="1">
      <c r="B175" s="5" t="s">
        <v>14</v>
      </c>
      <c r="C175" s="122"/>
      <c r="D175" s="11" t="s">
        <v>11</v>
      </c>
      <c r="E175" s="11" t="s">
        <v>11</v>
      </c>
      <c r="F175" s="11" t="s">
        <v>11</v>
      </c>
      <c r="G175" s="11" t="s">
        <v>11</v>
      </c>
      <c r="H175" s="22" t="s">
        <v>11</v>
      </c>
      <c r="I175" s="22" t="s">
        <v>11</v>
      </c>
      <c r="J175" s="22" t="s">
        <v>11</v>
      </c>
      <c r="K175" s="22" t="s">
        <v>11</v>
      </c>
      <c r="L175" s="45"/>
    </row>
    <row r="176" spans="1:12" ht="15" customHeight="1">
      <c r="B176" s="5" t="s">
        <v>15</v>
      </c>
      <c r="C176" s="122"/>
      <c r="D176" s="11" t="s">
        <v>11</v>
      </c>
      <c r="E176" s="11" t="s">
        <v>11</v>
      </c>
      <c r="F176" s="11" t="s">
        <v>11</v>
      </c>
      <c r="G176" s="11" t="s">
        <v>11</v>
      </c>
      <c r="H176" s="22" t="s">
        <v>11</v>
      </c>
      <c r="I176" s="22" t="s">
        <v>11</v>
      </c>
      <c r="J176" s="22" t="s">
        <v>11</v>
      </c>
      <c r="K176" s="22" t="s">
        <v>11</v>
      </c>
      <c r="L176" s="45"/>
    </row>
    <row r="177" spans="2:12" ht="15" customHeight="1">
      <c r="B177" s="9" t="s">
        <v>16</v>
      </c>
      <c r="C177" s="122"/>
      <c r="D177" s="11" t="s">
        <v>11</v>
      </c>
      <c r="E177" s="11" t="s">
        <v>11</v>
      </c>
      <c r="F177" s="11" t="s">
        <v>11</v>
      </c>
      <c r="G177" s="11" t="s">
        <v>11</v>
      </c>
      <c r="H177" s="22" t="s">
        <v>11</v>
      </c>
      <c r="I177" s="22" t="s">
        <v>11</v>
      </c>
      <c r="J177" s="22" t="s">
        <v>11</v>
      </c>
      <c r="K177" s="22" t="s">
        <v>11</v>
      </c>
      <c r="L177" s="45"/>
    </row>
    <row r="178" spans="2:12" ht="15" customHeight="1">
      <c r="B178" s="9" t="s">
        <v>17</v>
      </c>
      <c r="C178" s="122"/>
      <c r="D178" s="124"/>
      <c r="E178" s="154"/>
      <c r="F178" s="154"/>
      <c r="G178" s="155"/>
      <c r="H178" s="22" t="s">
        <v>11</v>
      </c>
      <c r="I178" s="22" t="s">
        <v>11</v>
      </c>
      <c r="J178" s="22" t="s">
        <v>11</v>
      </c>
      <c r="K178" s="22" t="s">
        <v>11</v>
      </c>
      <c r="L178" s="45"/>
    </row>
    <row r="179" spans="2:12" ht="15" customHeight="1">
      <c r="B179" s="9" t="s">
        <v>18</v>
      </c>
      <c r="C179" s="122"/>
      <c r="D179" s="11" t="s">
        <v>11</v>
      </c>
      <c r="E179" s="11" t="s">
        <v>11</v>
      </c>
      <c r="F179" s="11" t="s">
        <v>11</v>
      </c>
      <c r="G179" s="11" t="s">
        <v>11</v>
      </c>
      <c r="H179" s="11" t="s">
        <v>11</v>
      </c>
      <c r="I179" s="11" t="s">
        <v>11</v>
      </c>
      <c r="J179" s="11" t="s">
        <v>11</v>
      </c>
      <c r="K179" s="11" t="s">
        <v>11</v>
      </c>
      <c r="L179" s="45"/>
    </row>
    <row r="180" spans="2:12" ht="15" customHeight="1">
      <c r="B180" s="9" t="s">
        <v>19</v>
      </c>
      <c r="C180" s="123"/>
      <c r="D180" s="11"/>
      <c r="E180" s="11"/>
      <c r="F180" s="11"/>
      <c r="G180" s="11"/>
      <c r="H180" s="11"/>
      <c r="I180" s="11"/>
      <c r="J180" s="11"/>
      <c r="K180" s="11"/>
      <c r="L180" s="46"/>
    </row>
  </sheetData>
  <mergeCells count="40">
    <mergeCell ref="C21:C27"/>
    <mergeCell ref="D43:G43"/>
    <mergeCell ref="D34:G34"/>
    <mergeCell ref="C30:C36"/>
    <mergeCell ref="C93:C99"/>
    <mergeCell ref="D97:G97"/>
    <mergeCell ref="C39:C45"/>
    <mergeCell ref="C57:C63"/>
    <mergeCell ref="D79:G79"/>
    <mergeCell ref="C48:C54"/>
    <mergeCell ref="D61:G61"/>
    <mergeCell ref="D52:G52"/>
    <mergeCell ref="D70:G70"/>
    <mergeCell ref="C84:C90"/>
    <mergeCell ref="C75:C81"/>
    <mergeCell ref="C66:C72"/>
    <mergeCell ref="H1:K1"/>
    <mergeCell ref="D1:G1"/>
    <mergeCell ref="C12:C18"/>
    <mergeCell ref="C3:C9"/>
    <mergeCell ref="D7:G7"/>
    <mergeCell ref="D16:G16"/>
    <mergeCell ref="B1:C1"/>
    <mergeCell ref="C174:C180"/>
    <mergeCell ref="D178:G178"/>
    <mergeCell ref="D151:G151"/>
    <mergeCell ref="C156:C162"/>
    <mergeCell ref="D160:G160"/>
    <mergeCell ref="C165:C171"/>
    <mergeCell ref="D169:G169"/>
    <mergeCell ref="C120:C126"/>
    <mergeCell ref="C102:C108"/>
    <mergeCell ref="C147:C153"/>
    <mergeCell ref="C129:C135"/>
    <mergeCell ref="D133:G133"/>
    <mergeCell ref="C138:C144"/>
    <mergeCell ref="D142:G142"/>
    <mergeCell ref="C111:C117"/>
    <mergeCell ref="D115:G115"/>
    <mergeCell ref="D106:G106"/>
  </mergeCells>
  <conditionalFormatting sqref="D3:K180">
    <cfRule type="expression" dxfId="26" priority="1">
      <formula>UPPER(TRIM(D3))="PASS"</formula>
    </cfRule>
    <cfRule type="expression" dxfId="25" priority="2">
      <formula>UPPER(TRIM(D3))="FAIL"</formula>
    </cfRule>
    <cfRule type="expression" dxfId="24" priority="3">
      <formula>UPPER(TRIM(D3))="DAMAGE"</formula>
    </cfRule>
    <cfRule type="expression" dxfId="23" priority="4">
      <formula>OR(UPPER(TRIM(D3))="NA", UPPER(TRIM(D3))="N/A")</formula>
    </cfRule>
    <cfRule type="expression" dxfId="22" priority="5">
      <formula>OR(UPPER(TRIM(D3))="PENDING", UPPER(TRIM(D3))="WAITING TEST", UPPER(TRIM(D3))="WAITING", UPPER(TRIM(D3))="IN PROGRESS")</formula>
    </cfRule>
    <cfRule type="expression" dxfId="21" priority="6">
      <formula>UPPER(TRIM(D3))="ERROR"</formula>
    </cfRule>
    <cfRule type="expression" dxfId="20" priority="7">
      <formula>ISNUMBER(SEARCH("VDDQC",D3))</formula>
    </cfRule>
  </conditionalFormatting>
  <dataValidations count="2">
    <dataValidation type="list" allowBlank="1" showInputMessage="1" showErrorMessage="1" sqref="K57:K62 D39:E42 D44:G44 H75:J79 D62:G62 K48:K53 D80:K80 D84:E87 G26:K26 D102:K105 E57:E60 D143:J143 F99 G57:G60 H39:I44 H48:I53 D98:G98 F84:F89 I57:I62 D8:K8 H17:K17 H35:K35 D116:K116 F108 D107:K107 H106:K106 D93:G96 H93:K98 D75:F78 D48:E51 G48:I51 D53:I53 D66:D69 D71:H71 F66:H69 H70 J66:K71 D111:K114 F117 G89 H115:K115 H84:K89 D89:E89 D125:I125 D134:I134 H160:K160 J120:K125 K138:K143 H142:J142 D138:J141 G84:G87 F124 D120:D123 F120:H123 H124 J129:K134 H169:K169 D129:G132 H147:K152 H129:K133 D161:K161 D156:K159 D147:G150 D152:G152 H178:K178 D179:K179 D174:K177 D165:K168 D170:K170" xr:uid="{00000000-0002-0000-0000-000000000000}">
      <formula1>"Pass, Fail, Damage"</formula1>
    </dataValidation>
    <dataValidation type="list" allowBlank="1" showErrorMessage="1" errorTitle="Invalid Status" error="Please select Pass, Fail, or Damage only." sqref="H107:K107 H8:K8 H17:K17 H35:K35 H44:K44 H53:K53 H62:K62 H98:K98 H80:K80 G26:K26 H116:K116 H71:K71 H125:K125 H161:K161 E125:F125 H143:K143 F89 H89:K89 H179:K179 H134:K134 H152:K152 H170:K170" xr:uid="{00000000-0002-0000-0000-000001000000}">
      <formula1>"Pass,Fail,Damage"</formula1>
    </dataValidation>
  </dataValidations>
  <pageMargins left="0.75" right="0.75" top="1" bottom="1" header="0.5" footer="0.5"/>
  <headerFooter>
    <oddHeader>&amp;L&amp;"Arial"&amp;12&amp;K000000 Micron Confidential&amp;1#_x000D_&amp;"Calibri"&amp;11&amp;K000000&amp;"Calibri"&amp;11&amp;K000000&amp;"Calibri"&amp;11&amp;K000000&amp;"Arial"&amp;1 &amp;K000000 Micron Confidential#_x000D_</oddHeader>
    <oddFooter>&amp;L&amp;"Arial"&amp;12 &amp;K000000_x000D_# Micron Confidential_x000D_&amp;1#&amp;"Arial"&amp;12&amp;K000000 Micron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B20" sqref="B20"/>
    </sheetView>
  </sheetViews>
  <sheetFormatPr defaultRowHeight="15"/>
  <cols>
    <col min="1" max="1" width="52" customWidth="1"/>
    <col min="2" max="2" width="16" customWidth="1"/>
    <col min="3" max="3" width="52" customWidth="1"/>
    <col min="4" max="4" width="56" customWidth="1"/>
  </cols>
  <sheetData>
    <row r="1" spans="1:4" ht="18.600000000000001" customHeight="1">
      <c r="A1" s="137" t="s">
        <v>52</v>
      </c>
      <c r="B1" s="158"/>
      <c r="C1" s="158"/>
      <c r="D1" s="158"/>
    </row>
    <row r="3" spans="1:4">
      <c r="A3" s="35" t="s">
        <v>53</v>
      </c>
      <c r="B3" s="35" t="s">
        <v>54</v>
      </c>
      <c r="C3" s="35" t="s">
        <v>55</v>
      </c>
      <c r="D3" s="35" t="s">
        <v>56</v>
      </c>
    </row>
    <row r="4" spans="1:4">
      <c r="A4" s="36" t="s">
        <v>57</v>
      </c>
      <c r="B4" s="25">
        <v>48</v>
      </c>
      <c r="C4" s="25"/>
      <c r="D4" s="36" t="s">
        <v>58</v>
      </c>
    </row>
    <row r="5" spans="1:4">
      <c r="A5" s="36" t="s">
        <v>59</v>
      </c>
      <c r="B5" s="25">
        <f>B6+B7+B8</f>
        <v>77</v>
      </c>
      <c r="C5" s="25"/>
      <c r="D5" s="36" t="s">
        <v>60</v>
      </c>
    </row>
    <row r="6" spans="1:4">
      <c r="A6" s="36" t="s">
        <v>61</v>
      </c>
      <c r="B6" s="25">
        <f>SUMPRODUCT(--('DOE Status'!$B$1:$B$2001="STATUS UNIT"),--('DOE Status'!$H$1:$H$2001="Pass"))+SUMPRODUCT(--('DOE Status'!$B$1:$B$2001="STATUS UNIT"),--('DOE Status'!$I$1:$I$2001="Pass"))+SUMPRODUCT(--('DOE Status'!$B$1:$B$2001="STATUS UNIT"),--('DOE Status'!$J$1:$J$2001="Pass"))+SUMPRODUCT(--('DOE Status'!$B$1:$B$2001="STATUS UNIT"),--('DOE Status'!$K$1:$K$2001="Pass"))</f>
        <v>53</v>
      </c>
      <c r="C6" s="37">
        <f>IF(B5=0,"",B6/B5)</f>
        <v>0.68831168831168832</v>
      </c>
      <c r="D6" s="36"/>
    </row>
    <row r="7" spans="1:4">
      <c r="A7" s="36" t="s">
        <v>62</v>
      </c>
      <c r="B7" s="25">
        <f>SUMPRODUCT(--('DOE Status'!$B$1:$B$2001="STATUS UNIT"),--('DOE Status'!$H$1:$H$2001="Fail"))+SUMPRODUCT(--('DOE Status'!$B$1:$B$2001="STATUS UNIT"),--('DOE Status'!$I$1:$I$2001="Fail"))+SUMPRODUCT(--('DOE Status'!$B$1:$B$2001="STATUS UNIT"),--('DOE Status'!$J$1:$J$2001="Fail"))+SUMPRODUCT(--('DOE Status'!$B$1:$B$2001="STATUS UNIT"),--('DOE Status'!$K$1:$K$2001="Fail"))</f>
        <v>13</v>
      </c>
      <c r="C7" s="37">
        <f>IF(B5=0,"",B7/B5)</f>
        <v>0.16883116883116883</v>
      </c>
      <c r="D7" s="36"/>
    </row>
    <row r="8" spans="1:4">
      <c r="A8" s="36" t="s">
        <v>12</v>
      </c>
      <c r="B8" s="25">
        <f>SUMPRODUCT(--('DOE Status'!$B$1:$B$2001="STATUS UNIT"),--('DOE Status'!$H$1:$H$2001="Damage"))+SUMPRODUCT(--('DOE Status'!$B$1:$B$2001="STATUS UNIT"),--('DOE Status'!$I$1:$I$2001="Damage"))+SUMPRODUCT(--('DOE Status'!$B$1:$B$2001="STATUS UNIT"),--('DOE Status'!$J$1:$J$2001="Damage"))+SUMPRODUCT(--('DOE Status'!$B$1:$B$2001="STATUS UNIT"),--('DOE Status'!$K$1:$K$2001="Damage"))</f>
        <v>11</v>
      </c>
      <c r="C8" s="37">
        <f>IF(B5=0,"",B8/B5)</f>
        <v>0.14285714285714285</v>
      </c>
      <c r="D8" s="36"/>
    </row>
    <row r="9" spans="1:4">
      <c r="A9" s="36" t="s">
        <v>63</v>
      </c>
      <c r="B9" s="25">
        <f>SUMPRODUCT(--('DOE Status'!$B$1:$B$2001="STATUS UNIT"),--('DOE Status'!$H$1:$H$2001=""))+SUMPRODUCT(--('DOE Status'!$B$1:$B$2001="STATUS UNIT"),--('DOE Status'!$I$1:$I$2001=""))+SUMPRODUCT(--('DOE Status'!$B$1:$B$2001="STATUS UNIT"),--('DOE Status'!$J$1:$J$2001=""))+SUMPRODUCT(--('DOE Status'!$B$1:$B$2001="STATUS UNIT"),--('DOE Status'!$K$1:$K$2001=""))</f>
        <v>3</v>
      </c>
      <c r="C9" s="37"/>
      <c r="D9" s="36" t="s">
        <v>64</v>
      </c>
    </row>
  </sheetData>
  <mergeCells count="1">
    <mergeCell ref="A1:D1"/>
  </mergeCells>
  <pageMargins left="0.75" right="0.75" top="1" bottom="1" header="0.5" footer="0.5"/>
  <headerFooter>
    <oddHeader>&amp;L&amp;"Arial"&amp;12&amp;K000000 Micron Confidential&amp;1#_x000D_&amp;"Calibri"&amp;11&amp;K000000&amp;"Calibri"&amp;11&amp;K000000&amp;"Arial"&amp;1 &amp;K000000 Micron Confidential#_x000D_</oddHeader>
    <oddFooter>&amp;L&amp;"Arial"&amp;12 &amp;K000000_x000D_# Micron Confidential_x000D_&amp;1#&amp;"Arial"&amp;12&amp;K000000 Micron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"/>
  <sheetViews>
    <sheetView workbookViewId="0">
      <selection activeCell="N12" sqref="N12"/>
    </sheetView>
  </sheetViews>
  <sheetFormatPr defaultRowHeight="15"/>
  <cols>
    <col min="6" max="6" width="17.85546875" customWidth="1"/>
  </cols>
  <sheetData>
    <row r="1" spans="1:10">
      <c r="A1" s="38" t="s">
        <v>65</v>
      </c>
    </row>
    <row r="2" spans="1:10">
      <c r="A2" s="38" t="s">
        <v>66</v>
      </c>
      <c r="B2" s="38" t="s">
        <v>67</v>
      </c>
      <c r="C2" s="38" t="s">
        <v>68</v>
      </c>
      <c r="D2" s="38" t="s">
        <v>69</v>
      </c>
      <c r="F2" s="38" t="s">
        <v>70</v>
      </c>
      <c r="I2" s="38" t="s">
        <v>71</v>
      </c>
      <c r="J2" s="38" t="s">
        <v>57</v>
      </c>
    </row>
    <row r="3" spans="1:10">
      <c r="A3">
        <v>8</v>
      </c>
      <c r="B3" t="s">
        <v>72</v>
      </c>
      <c r="C3" t="s">
        <v>73</v>
      </c>
      <c r="D3" t="str">
        <f>'DOE Status'!H8</f>
        <v>Pass</v>
      </c>
      <c r="F3" t="s">
        <v>11</v>
      </c>
      <c r="G3">
        <f>COUNTIF(D3:D51,"Pass")</f>
        <v>25</v>
      </c>
      <c r="I3" s="38" t="s">
        <v>5</v>
      </c>
      <c r="J3" s="38">
        <v>11</v>
      </c>
    </row>
    <row r="4" spans="1:10">
      <c r="A4">
        <v>8</v>
      </c>
      <c r="B4" t="s">
        <v>74</v>
      </c>
      <c r="C4" t="s">
        <v>75</v>
      </c>
      <c r="D4" t="str">
        <f>'DOE Status'!I8</f>
        <v>Pass</v>
      </c>
      <c r="F4" t="s">
        <v>22</v>
      </c>
      <c r="G4">
        <f>COUNTIF(D3:D51,"Fail")</f>
        <v>8</v>
      </c>
      <c r="I4" t="str">
        <f>'DOE Status'!C3</f>
        <v>56A30400</v>
      </c>
    </row>
    <row r="5" spans="1:10">
      <c r="A5">
        <v>8</v>
      </c>
      <c r="B5" t="s">
        <v>76</v>
      </c>
      <c r="C5" t="s">
        <v>77</v>
      </c>
      <c r="D5" t="str">
        <f>'DOE Status'!J8</f>
        <v>Pass</v>
      </c>
      <c r="F5" t="s">
        <v>12</v>
      </c>
      <c r="G5">
        <f>COUNTIF(D3:D51,"Damage")</f>
        <v>9</v>
      </c>
      <c r="I5" t="str">
        <f>'DOE Status'!C12</f>
        <v>56A08BF1</v>
      </c>
    </row>
    <row r="6" spans="1:10">
      <c r="A6">
        <v>8</v>
      </c>
      <c r="B6" t="s">
        <v>78</v>
      </c>
      <c r="C6" t="s">
        <v>79</v>
      </c>
      <c r="D6" t="str">
        <f>'DOE Status'!K8</f>
        <v>Damage</v>
      </c>
      <c r="F6" t="s">
        <v>80</v>
      </c>
      <c r="G6">
        <f>COUNTA(D3:D51)-SUM(G3:G5)</f>
        <v>6</v>
      </c>
      <c r="I6" t="str">
        <f>'DOE Status'!C21</f>
        <v>56A079D4</v>
      </c>
    </row>
    <row r="7" spans="1:10">
      <c r="A7">
        <v>17</v>
      </c>
      <c r="B7" t="s">
        <v>72</v>
      </c>
      <c r="C7" t="s">
        <v>81</v>
      </c>
      <c r="D7" t="str">
        <f>'DOE Status'!H17</f>
        <v>Pass</v>
      </c>
      <c r="F7" t="s">
        <v>82</v>
      </c>
      <c r="G7">
        <f>SUM(G3:G5)</f>
        <v>42</v>
      </c>
      <c r="I7" t="str">
        <f>'DOE Status'!C30</f>
        <v>56A079A4</v>
      </c>
    </row>
    <row r="8" spans="1:10">
      <c r="A8">
        <v>17</v>
      </c>
      <c r="B8" t="s">
        <v>74</v>
      </c>
      <c r="C8" t="s">
        <v>83</v>
      </c>
      <c r="D8" t="str">
        <f>'DOE Status'!I17</f>
        <v>Pass</v>
      </c>
      <c r="I8" t="str">
        <f>'DOE Status'!C39</f>
        <v>569F1C57</v>
      </c>
    </row>
    <row r="9" spans="1:10">
      <c r="A9">
        <v>17</v>
      </c>
      <c r="B9" t="s">
        <v>76</v>
      </c>
      <c r="C9" t="s">
        <v>84</v>
      </c>
      <c r="D9" t="str">
        <f>'DOE Status'!J17</f>
        <v>Pass</v>
      </c>
      <c r="I9" t="e">
        <f>'DOE Status'!#REF!</f>
        <v>#REF!</v>
      </c>
    </row>
    <row r="10" spans="1:10">
      <c r="A10">
        <v>17</v>
      </c>
      <c r="B10" t="s">
        <v>78</v>
      </c>
      <c r="C10" t="s">
        <v>85</v>
      </c>
      <c r="D10" t="str">
        <f>'DOE Status'!K17</f>
        <v>Fail</v>
      </c>
      <c r="I10" t="str">
        <f>'DOE Status'!C48</f>
        <v>569F1D2F</v>
      </c>
    </row>
    <row r="11" spans="1:10">
      <c r="A11">
        <v>26</v>
      </c>
      <c r="B11" t="s">
        <v>72</v>
      </c>
      <c r="C11" t="s">
        <v>86</v>
      </c>
      <c r="D11" t="str">
        <f>'DOE Status'!H26</f>
        <v>Pass</v>
      </c>
      <c r="I11" t="str">
        <f>'DOE Status'!C57</f>
        <v>56A07A05</v>
      </c>
    </row>
    <row r="12" spans="1:10">
      <c r="A12">
        <v>26</v>
      </c>
      <c r="B12" t="s">
        <v>74</v>
      </c>
      <c r="C12" t="s">
        <v>87</v>
      </c>
      <c r="D12" t="str">
        <f>'DOE Status'!I26</f>
        <v>Pass</v>
      </c>
      <c r="I12" t="str">
        <f>'DOE Status'!C66</f>
        <v>56A47403</v>
      </c>
    </row>
    <row r="13" spans="1:10">
      <c r="A13">
        <v>26</v>
      </c>
      <c r="B13" t="s">
        <v>76</v>
      </c>
      <c r="C13" t="s">
        <v>88</v>
      </c>
      <c r="D13" t="str">
        <f>'DOE Status'!J26</f>
        <v>Pass</v>
      </c>
      <c r="I13" t="str">
        <f>'DOE Status'!C75</f>
        <v>56A05337</v>
      </c>
    </row>
    <row r="14" spans="1:10">
      <c r="A14">
        <v>26</v>
      </c>
      <c r="B14" t="s">
        <v>78</v>
      </c>
      <c r="C14" t="s">
        <v>89</v>
      </c>
      <c r="D14" t="str">
        <f>'DOE Status'!K26</f>
        <v>Damage</v>
      </c>
      <c r="I14" t="str">
        <f>'DOE Status'!C84</f>
        <v>569F1E00</v>
      </c>
    </row>
    <row r="15" spans="1:10">
      <c r="A15">
        <v>35</v>
      </c>
      <c r="B15" t="s">
        <v>72</v>
      </c>
      <c r="C15" t="s">
        <v>90</v>
      </c>
      <c r="D15" t="str">
        <f>'DOE Status'!H35</f>
        <v>Damage</v>
      </c>
    </row>
    <row r="16" spans="1:10">
      <c r="A16">
        <v>35</v>
      </c>
      <c r="B16" t="s">
        <v>74</v>
      </c>
      <c r="C16" t="s">
        <v>91</v>
      </c>
      <c r="D16" t="str">
        <f>'DOE Status'!I35</f>
        <v>Fail</v>
      </c>
    </row>
    <row r="17" spans="1:4">
      <c r="A17">
        <v>35</v>
      </c>
      <c r="B17" t="s">
        <v>76</v>
      </c>
      <c r="C17" t="s">
        <v>92</v>
      </c>
      <c r="D17" t="str">
        <f>'DOE Status'!J35</f>
        <v>Fail</v>
      </c>
    </row>
    <row r="18" spans="1:4">
      <c r="A18">
        <v>35</v>
      </c>
      <c r="B18" t="s">
        <v>78</v>
      </c>
      <c r="C18" t="s">
        <v>93</v>
      </c>
      <c r="D18" t="str">
        <f>'DOE Status'!K35</f>
        <v>Fail</v>
      </c>
    </row>
    <row r="19" spans="1:4">
      <c r="A19">
        <v>44</v>
      </c>
      <c r="B19" t="s">
        <v>72</v>
      </c>
      <c r="C19" t="s">
        <v>94</v>
      </c>
      <c r="D19" t="str">
        <f>'DOE Status'!H44</f>
        <v>Pass</v>
      </c>
    </row>
    <row r="20" spans="1:4">
      <c r="A20">
        <v>44</v>
      </c>
      <c r="B20" t="s">
        <v>74</v>
      </c>
      <c r="C20" t="s">
        <v>95</v>
      </c>
      <c r="D20" t="str">
        <f>'DOE Status'!I44</f>
        <v>Pass</v>
      </c>
    </row>
    <row r="21" spans="1:4">
      <c r="A21">
        <v>44</v>
      </c>
      <c r="B21" t="s">
        <v>76</v>
      </c>
      <c r="C21" t="s">
        <v>96</v>
      </c>
      <c r="D21" t="str">
        <f>'DOE Status'!J44</f>
        <v>Damage</v>
      </c>
    </row>
    <row r="22" spans="1:4">
      <c r="A22">
        <v>44</v>
      </c>
      <c r="B22" t="s">
        <v>78</v>
      </c>
      <c r="C22" t="s">
        <v>97</v>
      </c>
      <c r="D22" t="str">
        <f>'DOE Status'!K44</f>
        <v>Damage</v>
      </c>
    </row>
    <row r="23" spans="1:4">
      <c r="A23">
        <v>53</v>
      </c>
      <c r="B23" t="s">
        <v>72</v>
      </c>
      <c r="C23" t="s">
        <v>98</v>
      </c>
      <c r="D23" t="e">
        <f>'DOE Status'!#REF!</f>
        <v>#REF!</v>
      </c>
    </row>
    <row r="24" spans="1:4">
      <c r="A24">
        <v>53</v>
      </c>
      <c r="B24" t="s">
        <v>74</v>
      </c>
      <c r="C24" t="s">
        <v>99</v>
      </c>
      <c r="D24" t="e">
        <f>'DOE Status'!#REF!</f>
        <v>#REF!</v>
      </c>
    </row>
    <row r="25" spans="1:4">
      <c r="A25">
        <v>53</v>
      </c>
      <c r="B25" t="s">
        <v>76</v>
      </c>
      <c r="C25" t="s">
        <v>100</v>
      </c>
      <c r="D25" t="e">
        <f>'DOE Status'!#REF!</f>
        <v>#REF!</v>
      </c>
    </row>
    <row r="26" spans="1:4">
      <c r="A26">
        <v>53</v>
      </c>
      <c r="B26" t="s">
        <v>78</v>
      </c>
      <c r="C26" t="s">
        <v>101</v>
      </c>
      <c r="D26" t="e">
        <f>'DOE Status'!#REF!</f>
        <v>#REF!</v>
      </c>
    </row>
    <row r="27" spans="1:4">
      <c r="A27">
        <v>62</v>
      </c>
      <c r="B27" t="s">
        <v>72</v>
      </c>
      <c r="C27" t="s">
        <v>102</v>
      </c>
      <c r="D27" t="e">
        <f>'DOE Status'!#REF!</f>
        <v>#REF!</v>
      </c>
    </row>
    <row r="28" spans="1:4">
      <c r="A28">
        <v>62</v>
      </c>
      <c r="B28" t="s">
        <v>74</v>
      </c>
      <c r="C28" t="s">
        <v>103</v>
      </c>
      <c r="D28" t="e">
        <f>'DOE Status'!#REF!</f>
        <v>#REF!</v>
      </c>
    </row>
    <row r="29" spans="1:4">
      <c r="A29">
        <v>62</v>
      </c>
      <c r="B29" t="s">
        <v>76</v>
      </c>
      <c r="C29" t="s">
        <v>104</v>
      </c>
      <c r="D29" t="str">
        <f>'DOE Status'!J53</f>
        <v>Damage</v>
      </c>
    </row>
    <row r="30" spans="1:4">
      <c r="A30">
        <v>62</v>
      </c>
      <c r="B30" t="s">
        <v>78</v>
      </c>
      <c r="C30" t="s">
        <v>105</v>
      </c>
      <c r="D30" t="str">
        <f>'DOE Status'!K53</f>
        <v>Pass</v>
      </c>
    </row>
    <row r="31" spans="1:4">
      <c r="A31">
        <v>71</v>
      </c>
      <c r="B31" t="s">
        <v>72</v>
      </c>
      <c r="C31" t="s">
        <v>106</v>
      </c>
      <c r="D31" t="str">
        <f>'DOE Status'!H62</f>
        <v>Damage</v>
      </c>
    </row>
    <row r="32" spans="1:4">
      <c r="A32">
        <v>71</v>
      </c>
      <c r="B32" t="s">
        <v>74</v>
      </c>
      <c r="C32" t="s">
        <v>107</v>
      </c>
      <c r="D32" t="str">
        <f>'DOE Status'!I62</f>
        <v>Fail</v>
      </c>
    </row>
    <row r="33" spans="1:4">
      <c r="A33">
        <v>71</v>
      </c>
      <c r="B33" t="s">
        <v>76</v>
      </c>
      <c r="C33" t="s">
        <v>108</v>
      </c>
      <c r="D33" t="str">
        <f>'DOE Status'!J62</f>
        <v>Damage</v>
      </c>
    </row>
    <row r="34" spans="1:4">
      <c r="A34">
        <v>71</v>
      </c>
      <c r="B34" t="s">
        <v>78</v>
      </c>
      <c r="C34" t="s">
        <v>109</v>
      </c>
      <c r="D34" t="str">
        <f>'DOE Status'!K62</f>
        <v>Pass</v>
      </c>
    </row>
    <row r="35" spans="1:4">
      <c r="A35">
        <v>80</v>
      </c>
      <c r="B35" t="s">
        <v>72</v>
      </c>
      <c r="C35" t="s">
        <v>110</v>
      </c>
      <c r="D35" t="str">
        <f>'DOE Status'!H53</f>
        <v>Pass</v>
      </c>
    </row>
    <row r="36" spans="1:4">
      <c r="A36">
        <v>80</v>
      </c>
      <c r="B36" t="s">
        <v>74</v>
      </c>
      <c r="C36" t="s">
        <v>111</v>
      </c>
      <c r="D36" t="str">
        <f>'DOE Status'!I53</f>
        <v>Pass</v>
      </c>
    </row>
    <row r="37" spans="1:4">
      <c r="A37">
        <v>80</v>
      </c>
      <c r="B37" t="s">
        <v>76</v>
      </c>
      <c r="C37" t="s">
        <v>112</v>
      </c>
      <c r="D37" t="str">
        <f>'DOE Status'!J71</f>
        <v>Pass</v>
      </c>
    </row>
    <row r="38" spans="1:4">
      <c r="A38">
        <v>80</v>
      </c>
      <c r="B38" t="s">
        <v>78</v>
      </c>
      <c r="C38" t="s">
        <v>113</v>
      </c>
      <c r="D38" t="str">
        <f>'DOE Status'!K71</f>
        <v>Fail</v>
      </c>
    </row>
    <row r="39" spans="1:4">
      <c r="A39">
        <v>89</v>
      </c>
      <c r="B39" t="s">
        <v>72</v>
      </c>
      <c r="C39" t="s">
        <v>114</v>
      </c>
      <c r="D39" t="str">
        <f>'DOE Status'!H80</f>
        <v>Pass</v>
      </c>
    </row>
    <row r="40" spans="1:4">
      <c r="A40">
        <v>89</v>
      </c>
      <c r="B40" t="s">
        <v>74</v>
      </c>
      <c r="C40" t="s">
        <v>115</v>
      </c>
      <c r="D40" t="str">
        <f>'DOE Status'!I80</f>
        <v>Pass</v>
      </c>
    </row>
    <row r="41" spans="1:4">
      <c r="A41">
        <v>89</v>
      </c>
      <c r="B41" t="s">
        <v>76</v>
      </c>
      <c r="C41" t="s">
        <v>116</v>
      </c>
      <c r="D41" t="str">
        <f>'DOE Status'!J80</f>
        <v>Pass</v>
      </c>
    </row>
    <row r="42" spans="1:4">
      <c r="A42">
        <v>89</v>
      </c>
      <c r="B42" t="s">
        <v>78</v>
      </c>
      <c r="C42" t="s">
        <v>117</v>
      </c>
      <c r="D42" t="str">
        <f>'DOE Status'!K80</f>
        <v>Damage</v>
      </c>
    </row>
    <row r="43" spans="1:4">
      <c r="A43">
        <v>98</v>
      </c>
      <c r="B43" t="s">
        <v>72</v>
      </c>
      <c r="C43" t="s">
        <v>118</v>
      </c>
      <c r="D43" t="str">
        <f>'DOE Status'!H89</f>
        <v>Fail</v>
      </c>
    </row>
    <row r="44" spans="1:4">
      <c r="A44">
        <v>98</v>
      </c>
      <c r="B44" t="s">
        <v>74</v>
      </c>
      <c r="C44" t="s">
        <v>119</v>
      </c>
      <c r="D44" t="str">
        <f>'DOE Status'!I89</f>
        <v>Pass</v>
      </c>
    </row>
    <row r="45" spans="1:4">
      <c r="A45">
        <v>98</v>
      </c>
      <c r="B45" t="s">
        <v>76</v>
      </c>
      <c r="C45" t="s">
        <v>120</v>
      </c>
      <c r="D45" t="str">
        <f>'DOE Status'!J89</f>
        <v>Fail</v>
      </c>
    </row>
    <row r="46" spans="1:4">
      <c r="A46">
        <v>98</v>
      </c>
      <c r="B46" t="s">
        <v>78</v>
      </c>
      <c r="C46" t="s">
        <v>121</v>
      </c>
      <c r="D46" t="str">
        <f>'DOE Status'!K89</f>
        <v>Pass</v>
      </c>
    </row>
    <row r="47" spans="1:4">
      <c r="A47">
        <v>107</v>
      </c>
      <c r="B47" t="s">
        <v>72</v>
      </c>
      <c r="C47" t="s">
        <v>122</v>
      </c>
      <c r="D47" t="str">
        <f>'DOE Status'!H98</f>
        <v>Pass</v>
      </c>
    </row>
    <row r="48" spans="1:4">
      <c r="A48">
        <v>107</v>
      </c>
      <c r="B48" t="s">
        <v>74</v>
      </c>
      <c r="C48" t="s">
        <v>123</v>
      </c>
      <c r="D48" t="str">
        <f>'DOE Status'!I98</f>
        <v>Pass</v>
      </c>
    </row>
    <row r="49" spans="1:4">
      <c r="A49">
        <v>107</v>
      </c>
      <c r="B49" t="s">
        <v>76</v>
      </c>
      <c r="C49" t="s">
        <v>124</v>
      </c>
      <c r="D49" t="str">
        <f>'DOE Status'!J98</f>
        <v>Pass</v>
      </c>
    </row>
    <row r="50" spans="1:4">
      <c r="A50">
        <v>107</v>
      </c>
      <c r="B50" t="s">
        <v>78</v>
      </c>
      <c r="C50" t="s">
        <v>125</v>
      </c>
      <c r="D50" t="str">
        <f>'DOE Status'!K98</f>
        <v>Pass</v>
      </c>
    </row>
  </sheetData>
  <pageMargins left="0.75" right="0.75" top="1" bottom="1" header="0.5" footer="0.5"/>
  <headerFooter>
    <oddHeader>&amp;L&amp;"Arial"&amp;12&amp;K000000 Micron Confidential&amp;1#_x000D_&amp;"Calibri"&amp;11&amp;K000000&amp;"Calibri"&amp;11&amp;K000000&amp;"Arial"&amp;1 &amp;K000000 Micron Confidential#_x000D_</oddHeader>
    <oddFooter>&amp;L&amp;"Arial"&amp;12 &amp;K000000_x000D_# Micron Confidential_x000D_&amp;1#&amp;"Arial"&amp;12&amp;K000000 Micron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DBF8-DE6A-44B4-9309-33216A7DA5B1}">
  <dimension ref="A1:D40"/>
  <sheetViews>
    <sheetView workbookViewId="0">
      <selection activeCell="D24" sqref="D24"/>
    </sheetView>
  </sheetViews>
  <sheetFormatPr defaultRowHeight="15"/>
  <cols>
    <col min="1" max="1" width="34.28515625" customWidth="1"/>
    <col min="2" max="2" width="15.28515625" customWidth="1"/>
    <col min="3" max="4" width="19" customWidth="1"/>
    <col min="5" max="5" width="9.140625" bestFit="1" customWidth="1"/>
  </cols>
  <sheetData>
    <row r="1" spans="1:4" ht="21">
      <c r="A1" s="54" t="s">
        <v>126</v>
      </c>
    </row>
    <row r="2" spans="1:4">
      <c r="A2" s="51" t="s">
        <v>127</v>
      </c>
    </row>
    <row r="4" spans="1:4" ht="15.75">
      <c r="A4" s="159" t="s">
        <v>128</v>
      </c>
      <c r="B4" s="158"/>
      <c r="C4" s="158"/>
    </row>
    <row r="5" spans="1:4">
      <c r="A5" s="55" t="s">
        <v>53</v>
      </c>
      <c r="B5" s="55" t="s">
        <v>54</v>
      </c>
      <c r="C5" s="55" t="s">
        <v>129</v>
      </c>
    </row>
    <row r="6" spans="1:4">
      <c r="A6" t="s">
        <v>11</v>
      </c>
      <c r="B6">
        <v>34</v>
      </c>
      <c r="C6" s="52">
        <f>B6/B10</f>
        <v>0.57627118644067798</v>
      </c>
    </row>
    <row r="7" spans="1:4">
      <c r="A7" t="s">
        <v>22</v>
      </c>
      <c r="B7">
        <v>11</v>
      </c>
      <c r="C7" s="52">
        <f>B7/B10</f>
        <v>0.1864406779661017</v>
      </c>
    </row>
    <row r="8" spans="1:4">
      <c r="A8" t="s">
        <v>12</v>
      </c>
      <c r="B8">
        <v>8</v>
      </c>
      <c r="C8" s="52">
        <f>B8/B10</f>
        <v>0.13559322033898305</v>
      </c>
    </row>
    <row r="9" spans="1:4">
      <c r="A9" t="s">
        <v>130</v>
      </c>
      <c r="B9">
        <v>6</v>
      </c>
      <c r="C9" s="52">
        <f>B9/B10</f>
        <v>0.10169491525423729</v>
      </c>
    </row>
    <row r="10" spans="1:4">
      <c r="A10" t="s">
        <v>131</v>
      </c>
      <c r="B10">
        <f>SUM(B6:B9)</f>
        <v>59</v>
      </c>
      <c r="C10" t="s">
        <v>132</v>
      </c>
    </row>
    <row r="12" spans="1:4" ht="15.75">
      <c r="A12" s="159" t="s">
        <v>133</v>
      </c>
      <c r="B12" s="158"/>
      <c r="C12" s="158"/>
      <c r="D12" s="158"/>
    </row>
    <row r="13" spans="1:4">
      <c r="A13" s="55" t="s">
        <v>134</v>
      </c>
      <c r="B13" s="55" t="s">
        <v>11</v>
      </c>
      <c r="C13" s="55" t="s">
        <v>22</v>
      </c>
      <c r="D13" s="55" t="s">
        <v>135</v>
      </c>
    </row>
    <row r="14" spans="1:4">
      <c r="A14" t="s">
        <v>6</v>
      </c>
      <c r="B14">
        <v>11</v>
      </c>
      <c r="C14">
        <v>0</v>
      </c>
      <c r="D14" s="52">
        <f>B14/SUM(B14:C14)</f>
        <v>1</v>
      </c>
    </row>
    <row r="15" spans="1:4">
      <c r="A15" t="s">
        <v>7</v>
      </c>
      <c r="B15">
        <v>9</v>
      </c>
      <c r="C15">
        <v>2</v>
      </c>
      <c r="D15" s="52">
        <f>B15/SUM(B15:C15)</f>
        <v>0.81818181818181823</v>
      </c>
    </row>
    <row r="16" spans="1:4">
      <c r="A16" t="s">
        <v>8</v>
      </c>
      <c r="B16">
        <v>8</v>
      </c>
      <c r="C16">
        <v>2</v>
      </c>
      <c r="D16" s="52">
        <f>B16/SUM(B16:C16)</f>
        <v>0.8</v>
      </c>
    </row>
    <row r="17" spans="1:4">
      <c r="A17" t="s">
        <v>136</v>
      </c>
      <c r="B17">
        <v>6</v>
      </c>
      <c r="C17">
        <v>3</v>
      </c>
      <c r="D17" s="52">
        <f>B17/SUM(B17:C17)</f>
        <v>0.66666666666666663</v>
      </c>
    </row>
    <row r="18" spans="1:4">
      <c r="A18" s="53" t="s">
        <v>137</v>
      </c>
      <c r="B18" s="53">
        <f>SUM(B14:B17)</f>
        <v>34</v>
      </c>
      <c r="C18" s="53">
        <f>SUM(C14:C17)</f>
        <v>7</v>
      </c>
      <c r="D18" s="56">
        <f>B18/SUM(B18:C18)</f>
        <v>0.82926829268292679</v>
      </c>
    </row>
    <row r="20" spans="1:4" ht="15.75">
      <c r="A20" s="159" t="s">
        <v>138</v>
      </c>
      <c r="B20" s="158"/>
      <c r="C20" s="158"/>
      <c r="D20" s="158"/>
    </row>
    <row r="21" spans="1:4">
      <c r="A21" s="55" t="s">
        <v>139</v>
      </c>
      <c r="B21" s="55" t="s">
        <v>11</v>
      </c>
      <c r="C21" s="55" t="s">
        <v>22</v>
      </c>
      <c r="D21" s="55" t="s">
        <v>135</v>
      </c>
    </row>
    <row r="22" spans="1:4">
      <c r="A22" t="s">
        <v>4</v>
      </c>
      <c r="B22">
        <v>9</v>
      </c>
      <c r="C22">
        <v>4</v>
      </c>
      <c r="D22" s="52">
        <f>B22/SUM(B22:C22)</f>
        <v>0.69230769230769229</v>
      </c>
    </row>
    <row r="23" spans="1:4">
      <c r="A23" t="s">
        <v>140</v>
      </c>
      <c r="B23">
        <v>12</v>
      </c>
      <c r="C23">
        <v>3</v>
      </c>
      <c r="D23" s="52">
        <f>B23/SUM(B23:C23)</f>
        <v>0.8</v>
      </c>
    </row>
    <row r="24" spans="1:4">
      <c r="A24" t="s">
        <v>141</v>
      </c>
      <c r="B24">
        <v>13</v>
      </c>
      <c r="C24">
        <v>0</v>
      </c>
      <c r="D24" s="52">
        <f>B24/SUM(B24:C24)</f>
        <v>1</v>
      </c>
    </row>
    <row r="25" spans="1:4">
      <c r="A25" s="53" t="s">
        <v>137</v>
      </c>
      <c r="B25" s="53">
        <f>SUM(B22:B24)</f>
        <v>34</v>
      </c>
      <c r="C25" s="53">
        <f>SUM(C22:C24)</f>
        <v>7</v>
      </c>
      <c r="D25" s="56">
        <f>B25/SUM(B25:C25)</f>
        <v>0.82926829268292679</v>
      </c>
    </row>
    <row r="27" spans="1:4" ht="15.75">
      <c r="A27" s="159" t="s">
        <v>142</v>
      </c>
      <c r="B27" s="158"/>
      <c r="C27" s="158"/>
    </row>
    <row r="28" spans="1:4">
      <c r="A28" s="55" t="s">
        <v>143</v>
      </c>
      <c r="B28" s="55" t="s">
        <v>54</v>
      </c>
      <c r="C28" s="55" t="s">
        <v>129</v>
      </c>
    </row>
    <row r="29" spans="1:4">
      <c r="A29" t="s">
        <v>144</v>
      </c>
      <c r="B29">
        <f>B6+B7+B8</f>
        <v>53</v>
      </c>
      <c r="C29" s="52">
        <f>B29/B10</f>
        <v>0.89830508474576276</v>
      </c>
    </row>
    <row r="30" spans="1:4">
      <c r="A30" t="s">
        <v>145</v>
      </c>
      <c r="B30">
        <f>B9</f>
        <v>6</v>
      </c>
      <c r="C30" s="52">
        <f>B30/B10</f>
        <v>0.10169491525423729</v>
      </c>
    </row>
    <row r="31" spans="1:4">
      <c r="A31" t="s">
        <v>146</v>
      </c>
      <c r="B31" t="s">
        <v>132</v>
      </c>
      <c r="C31" s="52">
        <f>B29/B10</f>
        <v>0.89830508474576276</v>
      </c>
    </row>
    <row r="33" spans="1:3" ht="15.75">
      <c r="A33" s="159" t="s">
        <v>147</v>
      </c>
      <c r="B33" s="158"/>
      <c r="C33" s="158"/>
    </row>
    <row r="34" spans="1:3">
      <c r="A34" s="55" t="s">
        <v>148</v>
      </c>
      <c r="B34" s="55" t="s">
        <v>149</v>
      </c>
      <c r="C34" s="55" t="s">
        <v>150</v>
      </c>
    </row>
    <row r="35" spans="1:3">
      <c r="A35" t="s">
        <v>151</v>
      </c>
      <c r="B35" t="s">
        <v>152</v>
      </c>
      <c r="C35" t="s">
        <v>153</v>
      </c>
    </row>
    <row r="36" spans="1:3">
      <c r="A36" t="s">
        <v>154</v>
      </c>
      <c r="B36" t="s">
        <v>155</v>
      </c>
      <c r="C36" t="s">
        <v>156</v>
      </c>
    </row>
    <row r="37" spans="1:3">
      <c r="A37" t="s">
        <v>157</v>
      </c>
      <c r="B37" t="s">
        <v>158</v>
      </c>
      <c r="C37" t="s">
        <v>159</v>
      </c>
    </row>
    <row r="38" spans="1:3">
      <c r="A38" t="s">
        <v>160</v>
      </c>
      <c r="B38" t="s">
        <v>161</v>
      </c>
      <c r="C38" t="s">
        <v>162</v>
      </c>
    </row>
    <row r="39" spans="1:3">
      <c r="A39" t="s">
        <v>163</v>
      </c>
      <c r="B39" t="s">
        <v>164</v>
      </c>
      <c r="C39" t="s">
        <v>165</v>
      </c>
    </row>
    <row r="40" spans="1:3">
      <c r="A40" t="s">
        <v>166</v>
      </c>
      <c r="B40" t="s">
        <v>167</v>
      </c>
      <c r="C40" t="s">
        <v>168</v>
      </c>
    </row>
  </sheetData>
  <mergeCells count="5">
    <mergeCell ref="A4:C4"/>
    <mergeCell ref="A12:D12"/>
    <mergeCell ref="A20:D20"/>
    <mergeCell ref="A27:C27"/>
    <mergeCell ref="A33:C33"/>
  </mergeCells>
  <conditionalFormatting sqref="D14:D17">
    <cfRule type="expression" dxfId="19" priority="7">
      <formula>D14&gt;=0.9</formula>
    </cfRule>
    <cfRule type="expression" dxfId="18" priority="8">
      <formula>AND(D14&gt;=0.6, D14&lt;0.9)</formula>
    </cfRule>
    <cfRule type="expression" dxfId="17" priority="9">
      <formula>D14&lt;0.6</formula>
    </cfRule>
  </conditionalFormatting>
  <conditionalFormatting sqref="D22:D24">
    <cfRule type="expression" dxfId="16" priority="10">
      <formula>D22&gt;=0.9</formula>
    </cfRule>
    <cfRule type="expression" dxfId="15" priority="11">
      <formula>AND(D22&gt;=0.6, D22&lt;0.9)</formula>
    </cfRule>
    <cfRule type="expression" dxfId="14" priority="12">
      <formula>D22&lt;0.6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2DF8-4977-4B52-A1E3-4F00012BDD3D}">
  <dimension ref="A1:M79"/>
  <sheetViews>
    <sheetView topLeftCell="A8" zoomScale="55" zoomScaleNormal="55" workbookViewId="0"/>
  </sheetViews>
  <sheetFormatPr defaultRowHeight="15"/>
  <cols>
    <col min="1" max="1" width="34.28515625" customWidth="1"/>
    <col min="2" max="5" width="16.140625" customWidth="1"/>
    <col min="6" max="6" width="22.85546875" customWidth="1"/>
    <col min="7" max="7" width="26.7109375" customWidth="1"/>
    <col min="8" max="8" width="3.85546875" customWidth="1"/>
    <col min="9" max="9" width="34.28515625" customWidth="1"/>
    <col min="10" max="12" width="16.140625" customWidth="1"/>
    <col min="13" max="13" width="26.7109375" customWidth="1"/>
  </cols>
  <sheetData>
    <row r="1" spans="1:13" ht="35.1" customHeight="1">
      <c r="A1" s="138" t="s">
        <v>169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</row>
    <row r="2" spans="1:13">
      <c r="A2" s="139" t="s">
        <v>170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</row>
    <row r="4" spans="1:13" ht="24.95" customHeight="1">
      <c r="A4" s="160" t="s">
        <v>171</v>
      </c>
      <c r="B4" s="158"/>
      <c r="C4" s="158"/>
      <c r="D4" s="158"/>
      <c r="E4" s="158"/>
      <c r="F4" s="158"/>
      <c r="G4" s="158"/>
    </row>
    <row r="5" spans="1:13">
      <c r="A5" s="73" t="s">
        <v>53</v>
      </c>
      <c r="B5" s="73" t="s">
        <v>54</v>
      </c>
      <c r="C5" s="73" t="s">
        <v>129</v>
      </c>
      <c r="D5" s="73" t="s">
        <v>172</v>
      </c>
      <c r="E5" s="73" t="s">
        <v>143</v>
      </c>
      <c r="F5" s="73" t="s">
        <v>173</v>
      </c>
      <c r="G5" s="73" t="s">
        <v>174</v>
      </c>
    </row>
    <row r="6" spans="1:13">
      <c r="A6" s="74" t="s">
        <v>175</v>
      </c>
      <c r="B6" s="74">
        <f>COUNTA('DOE Pivot &amp; Charts'!E5:E156)-COUNTIF('DOE Pivot &amp; Charts'!E5:E156,"")</f>
        <v>152</v>
      </c>
      <c r="C6" s="74" t="s">
        <v>132</v>
      </c>
      <c r="D6" s="74" t="s">
        <v>176</v>
      </c>
      <c r="E6" s="74" t="str">
        <f>IF(B6&gt;=150,"✅ On Track","⚠️ In Progress")</f>
        <v>✅ On Track</v>
      </c>
      <c r="F6" s="74" t="str">
        <f>REPT("█",ROUND(B6/15,0))&amp;REPT("░",10-ROUND(B6/15,0))</f>
        <v>██████████</v>
      </c>
      <c r="G6" s="74" t="s">
        <v>177</v>
      </c>
    </row>
    <row r="7" spans="1:13">
      <c r="A7" s="72" t="s">
        <v>178</v>
      </c>
      <c r="B7" s="72">
        <f>COUNTIF('DOE Pivot &amp; Charts'!E5:E156,"Pass")</f>
        <v>98</v>
      </c>
      <c r="C7" s="76">
        <f>B7/B6</f>
        <v>0.64473684210526316</v>
      </c>
      <c r="D7" s="72" t="s">
        <v>179</v>
      </c>
      <c r="E7" s="72" t="str">
        <f>IF(C7&gt;=0.75,"✅ Good","⚠️ Below Target")</f>
        <v>⚠️ Below Target</v>
      </c>
      <c r="F7" s="72" t="str">
        <f>REPT("█",ROUND(C7*10,0))&amp;REPT("░",10-ROUND(C7*10,0))</f>
        <v>██████░░░░</v>
      </c>
      <c r="G7" s="72" t="s">
        <v>180</v>
      </c>
    </row>
    <row r="8" spans="1:13">
      <c r="A8" s="71" t="s">
        <v>181</v>
      </c>
      <c r="B8" s="71">
        <f>COUNTIF('DOE Pivot &amp; Charts'!E5:E156,"Fail")</f>
        <v>24</v>
      </c>
      <c r="C8" s="77">
        <f>B8/B6</f>
        <v>0.15789473684210525</v>
      </c>
      <c r="D8" s="71" t="s">
        <v>182</v>
      </c>
      <c r="E8" s="71" t="str">
        <f>IF(C8&lt;=0.1,"✅ Good","🔴 High")</f>
        <v>🔴 High</v>
      </c>
      <c r="F8" s="71" t="str">
        <f>REPT("█",ROUND(C8*10,0))&amp;REPT("░",10-ROUND(C8*10,0))</f>
        <v>██░░░░░░░░</v>
      </c>
      <c r="G8" s="71" t="s">
        <v>183</v>
      </c>
    </row>
    <row r="9" spans="1:13">
      <c r="A9" s="70" t="s">
        <v>184</v>
      </c>
      <c r="B9" s="70">
        <f>COUNTIF('DOE Pivot &amp; Charts'!E5:E156,"Damage")</f>
        <v>22</v>
      </c>
      <c r="C9" s="78">
        <f>B9/B6</f>
        <v>0.14473684210526316</v>
      </c>
      <c r="D9" s="70" t="s">
        <v>182</v>
      </c>
      <c r="E9" s="70" t="str">
        <f>IF(C9&lt;=0.1,"✅ Good","🟡 Monitor")</f>
        <v>🟡 Monitor</v>
      </c>
      <c r="F9" s="70" t="str">
        <f>REPT("█",ROUND(C9*10,0))&amp;REPT("░",10-ROUND(C9*10,0))</f>
        <v>█░░░░░░░░░</v>
      </c>
      <c r="G9" s="70" t="s">
        <v>185</v>
      </c>
    </row>
    <row r="10" spans="1:13">
      <c r="A10" s="75" t="s">
        <v>186</v>
      </c>
      <c r="B10" s="75">
        <f>COUNTIF('DOE Pivot &amp; Charts'!E5:E156,"Pending")</f>
        <v>8</v>
      </c>
      <c r="C10" s="79">
        <f>B10/B6</f>
        <v>5.2631578947368418E-2</v>
      </c>
      <c r="D10" s="75">
        <v>0</v>
      </c>
      <c r="E10" s="75" t="str">
        <f>IF(B10=0,"✅ Complete","⏳ In Progress")</f>
        <v>⏳ In Progress</v>
      </c>
      <c r="F10" s="75" t="str">
        <f>REPT("█",ROUND(C10*10,0))&amp;REPT("░",10-ROUND(C10*10,0))</f>
        <v>█░░░░░░░░░</v>
      </c>
      <c r="G10" s="75" t="s">
        <v>187</v>
      </c>
    </row>
    <row r="12" spans="1:13" ht="24.95" customHeight="1">
      <c r="A12" s="161" t="s">
        <v>188</v>
      </c>
      <c r="B12" s="158"/>
      <c r="C12" s="158"/>
      <c r="D12" s="158"/>
      <c r="E12" s="158"/>
      <c r="F12" s="158"/>
      <c r="G12" s="158"/>
    </row>
    <row r="13" spans="1:13">
      <c r="A13" s="80" t="s">
        <v>139</v>
      </c>
      <c r="B13" s="80" t="s">
        <v>11</v>
      </c>
      <c r="C13" s="80" t="s">
        <v>22</v>
      </c>
      <c r="D13" s="80" t="s">
        <v>12</v>
      </c>
      <c r="E13" s="80" t="s">
        <v>82</v>
      </c>
      <c r="F13" s="80" t="s">
        <v>135</v>
      </c>
      <c r="G13" s="80" t="s">
        <v>189</v>
      </c>
    </row>
    <row r="14" spans="1:13">
      <c r="A14" t="s">
        <v>4</v>
      </c>
      <c r="B14">
        <f>COUNTIFS('DOE Pivot &amp; Charts'!A5:A156,"WW13",'DOE Pivot &amp; Charts'!E5:E156,"Pass")</f>
        <v>18</v>
      </c>
      <c r="C14">
        <f>COUNTIFS('DOE Pivot &amp; Charts'!A5:A156,"WW13",'DOE Pivot &amp; Charts'!E5:E156,"Fail")</f>
        <v>8</v>
      </c>
      <c r="D14">
        <f>COUNTIFS('DOE Pivot &amp; Charts'!A5:A156,"WW13",'DOE Pivot &amp; Charts'!E5:E156,"Damage")</f>
        <v>6</v>
      </c>
      <c r="E14">
        <f>B14+C14+D14</f>
        <v>32</v>
      </c>
      <c r="F14" s="52">
        <f>IF(E14&gt;0,B14/E14,0)</f>
        <v>0.5625</v>
      </c>
      <c r="G14" t="str">
        <f>IF(F14&gt;=0.8,"🟢 Excellent",IF(F14&gt;=0.6,"🟡 Good","🔴 Needs Improvement"))</f>
        <v>🔴 Needs Improvement</v>
      </c>
    </row>
    <row r="15" spans="1:13">
      <c r="A15" t="s">
        <v>140</v>
      </c>
      <c r="B15">
        <f>COUNTIFS('DOE Pivot &amp; Charts'!A5:A156,"WW14",'DOE Pivot &amp; Charts'!E5:E156,"Pass")</f>
        <v>26</v>
      </c>
      <c r="C15">
        <f>COUNTIFS('DOE Pivot &amp; Charts'!A5:A156,"WW14",'DOE Pivot &amp; Charts'!E5:E156,"Fail")</f>
        <v>8</v>
      </c>
      <c r="D15">
        <f>COUNTIFS('DOE Pivot &amp; Charts'!A5:A156,"WW14",'DOE Pivot &amp; Charts'!E5:E156,"Damage")</f>
        <v>14</v>
      </c>
      <c r="E15">
        <f>B15+C15+D15</f>
        <v>48</v>
      </c>
      <c r="F15" s="52">
        <f>IF(E15&gt;0,B15/E15,0)</f>
        <v>0.54166666666666663</v>
      </c>
      <c r="G15" t="str">
        <f>IF(F15&gt;=0.8,"🟢 Excellent",IF(F15&gt;=0.6,"🟡 Good","🔴 Needs Improvement"))</f>
        <v>🔴 Needs Improvement</v>
      </c>
    </row>
    <row r="16" spans="1:13">
      <c r="A16" t="s">
        <v>141</v>
      </c>
      <c r="B16">
        <f>COUNTIFS('DOE Pivot &amp; Charts'!A5:A156,"WW15",'DOE Pivot &amp; Charts'!E5:E156,"Pass")</f>
        <v>29</v>
      </c>
      <c r="C16">
        <f>COUNTIFS('DOE Pivot &amp; Charts'!A5:A156,"WW15",'DOE Pivot &amp; Charts'!E5:E156,"Fail")</f>
        <v>1</v>
      </c>
      <c r="D16">
        <f>COUNTIFS('DOE Pivot &amp; Charts'!A5:A156,"WW15",'DOE Pivot &amp; Charts'!E5:E156,"Damage")</f>
        <v>2</v>
      </c>
      <c r="E16">
        <f>B16+C16+D16</f>
        <v>32</v>
      </c>
      <c r="F16" s="52">
        <f>IF(E16&gt;0,B16/E16,0)</f>
        <v>0.90625</v>
      </c>
      <c r="G16" t="str">
        <f>IF(F16&gt;=0.8,"🟢 Excellent",IF(F16&gt;=0.6,"🟡 Good","🔴 Needs Improvement"))</f>
        <v>🟢 Excellent</v>
      </c>
    </row>
    <row r="17" spans="1:7">
      <c r="A17" t="s">
        <v>190</v>
      </c>
      <c r="B17">
        <f>COUNTIFS('DOE Pivot &amp; Charts'!A5:A156,"WW16",'DOE Pivot &amp; Charts'!E5:E156,"Pass")</f>
        <v>25</v>
      </c>
      <c r="C17">
        <f>COUNTIFS('DOE Pivot &amp; Charts'!A5:A156,"WW16",'DOE Pivot &amp; Charts'!E5:E156,"Fail")</f>
        <v>7</v>
      </c>
      <c r="D17">
        <f>COUNTIFS('DOE Pivot &amp; Charts'!A5:A156,"WW16",'DOE Pivot &amp; Charts'!E5:E156,"Damage")</f>
        <v>0</v>
      </c>
      <c r="E17">
        <f>B17+C17+D17</f>
        <v>32</v>
      </c>
      <c r="F17" s="52">
        <f>IF(E17&gt;0,B17/E17,0)</f>
        <v>0.78125</v>
      </c>
      <c r="G17" t="str">
        <f>IF(F17&gt;=0.8,"🟢 Excellent",IF(F17&gt;=0.6,"🟡 Good","🔴 Needs Improvement"))</f>
        <v>🟡 Good</v>
      </c>
    </row>
    <row r="18" spans="1:7">
      <c r="A18" s="81" t="s">
        <v>191</v>
      </c>
      <c r="B18" s="81">
        <f>SUM(B14:B17)</f>
        <v>98</v>
      </c>
      <c r="C18" s="81">
        <f>SUM(C14:C17)</f>
        <v>24</v>
      </c>
      <c r="D18" s="81">
        <f>SUM(D14:D17)</f>
        <v>22</v>
      </c>
      <c r="E18" s="81">
        <f>SUM(E14:E17)</f>
        <v>144</v>
      </c>
      <c r="F18" s="82">
        <f>IF(E18&gt;0,B18/E18,0)</f>
        <v>0.68055555555555558</v>
      </c>
      <c r="G18" s="81" t="s">
        <v>192</v>
      </c>
    </row>
    <row r="20" spans="1:7" ht="24.95" customHeight="1">
      <c r="A20" s="162" t="s">
        <v>193</v>
      </c>
      <c r="B20" s="158"/>
      <c r="C20" s="158"/>
      <c r="D20" s="158"/>
      <c r="E20" s="158"/>
      <c r="F20" s="158"/>
      <c r="G20" s="158"/>
    </row>
    <row r="21" spans="1:7">
      <c r="A21" s="83" t="s">
        <v>134</v>
      </c>
      <c r="B21" s="83" t="s">
        <v>11</v>
      </c>
      <c r="C21" s="83" t="s">
        <v>22</v>
      </c>
      <c r="D21" s="83" t="s">
        <v>12</v>
      </c>
      <c r="E21" s="83" t="s">
        <v>194</v>
      </c>
      <c r="F21" s="83" t="s">
        <v>135</v>
      </c>
      <c r="G21" s="83" t="s">
        <v>143</v>
      </c>
    </row>
    <row r="22" spans="1:7">
      <c r="A22" t="s">
        <v>6</v>
      </c>
      <c r="B22">
        <f>COUNTIFS('DOE Pivot &amp; Charts'!D5:D156,"Unit 1",'DOE Pivot &amp; Charts'!E5:E156,"Pass")</f>
        <v>28</v>
      </c>
      <c r="C22">
        <f>COUNTIFS('DOE Pivot &amp; Charts'!D5:D156,"Unit 1",'DOE Pivot &amp; Charts'!E5:E156,"Fail")</f>
        <v>4</v>
      </c>
      <c r="D22">
        <f>COUNTIFS('DOE Pivot &amp; Charts'!D5:D156,"Unit 1",'DOE Pivot &amp; Charts'!E5:E156,"Damage")</f>
        <v>4</v>
      </c>
      <c r="E22">
        <f>B22+C22+D22</f>
        <v>36</v>
      </c>
      <c r="F22" s="52">
        <f>IF(E22&gt;0,B22/E22,0)</f>
        <v>0.77777777777777779</v>
      </c>
      <c r="G22" t="str">
        <f>IF(F22&gt;=0.75,"🟢 Best",IF(F22&gt;=0.6,"🟡 Good","🔴 Needs Focus"))</f>
        <v>🟢 Best</v>
      </c>
    </row>
    <row r="23" spans="1:7">
      <c r="A23" t="s">
        <v>7</v>
      </c>
      <c r="B23">
        <f>COUNTIFS('DOE Pivot &amp; Charts'!D5:D156,"Unit 2",'DOE Pivot &amp; Charts'!E5:E156,"Pass")</f>
        <v>26</v>
      </c>
      <c r="C23">
        <f>COUNTIFS('DOE Pivot &amp; Charts'!D5:D156,"Unit 2",'DOE Pivot &amp; Charts'!E5:E156,"Fail")</f>
        <v>6</v>
      </c>
      <c r="D23">
        <f>COUNTIFS('DOE Pivot &amp; Charts'!D5:D156,"Unit 2",'DOE Pivot &amp; Charts'!E5:E156,"Damage")</f>
        <v>4</v>
      </c>
      <c r="E23">
        <f>B23+C23+D23</f>
        <v>36</v>
      </c>
      <c r="F23" s="52">
        <f>IF(E23&gt;0,B23/E23,0)</f>
        <v>0.72222222222222221</v>
      </c>
      <c r="G23" t="str">
        <f>IF(F23&gt;=0.75,"🟢 Best",IF(F23&gt;=0.6,"🟡 Good","🔴 Needs Focus"))</f>
        <v>🟡 Good</v>
      </c>
    </row>
    <row r="24" spans="1:7">
      <c r="A24" t="s">
        <v>8</v>
      </c>
      <c r="B24">
        <f>COUNTIFS('DOE Pivot &amp; Charts'!D5:D156,"Unit 3",'DOE Pivot &amp; Charts'!E5:E156,"Pass")</f>
        <v>23</v>
      </c>
      <c r="C24">
        <f>COUNTIFS('DOE Pivot &amp; Charts'!D5:D156,"Unit 3",'DOE Pivot &amp; Charts'!E5:E156,"Fail")</f>
        <v>7</v>
      </c>
      <c r="D24">
        <f>COUNTIFS('DOE Pivot &amp; Charts'!D5:D156,"Unit 3",'DOE Pivot &amp; Charts'!E5:E156,"Damage")</f>
        <v>6</v>
      </c>
      <c r="E24">
        <f>B24+C24+D24</f>
        <v>36</v>
      </c>
      <c r="F24" s="52">
        <f>IF(E24&gt;0,B24/E24,0)</f>
        <v>0.63888888888888884</v>
      </c>
      <c r="G24" t="str">
        <f>IF(F24&gt;=0.75,"🟢 Best",IF(F24&gt;=0.6,"🟡 Good","🔴 Needs Focus"))</f>
        <v>🟡 Good</v>
      </c>
    </row>
    <row r="25" spans="1:7">
      <c r="A25" t="s">
        <v>136</v>
      </c>
      <c r="B25">
        <f>COUNTIFS('DOE Pivot &amp; Charts'!D5:D156,"Unit 4",'DOE Pivot &amp; Charts'!E5:E156,"Pass")</f>
        <v>21</v>
      </c>
      <c r="C25">
        <f>COUNTIFS('DOE Pivot &amp; Charts'!D5:D156,"Unit 4",'DOE Pivot &amp; Charts'!E5:E156,"Fail")</f>
        <v>7</v>
      </c>
      <c r="D25">
        <f>COUNTIFS('DOE Pivot &amp; Charts'!D5:D156,"Unit 4",'DOE Pivot &amp; Charts'!E5:E156,"Damage")</f>
        <v>8</v>
      </c>
      <c r="E25">
        <f>B25+C25+D25</f>
        <v>36</v>
      </c>
      <c r="F25" s="52">
        <f>IF(E25&gt;0,B25/E25,0)</f>
        <v>0.58333333333333337</v>
      </c>
      <c r="G25" t="str">
        <f>IF(F25&gt;=0.75,"🟢 Best",IF(F25&gt;=0.6,"🟡 Good","🔴 Needs Focus"))</f>
        <v>🔴 Needs Focus</v>
      </c>
    </row>
    <row r="26" spans="1:7">
      <c r="A26" s="84" t="s">
        <v>191</v>
      </c>
      <c r="B26" s="84">
        <f>SUM(B22:B25)</f>
        <v>98</v>
      </c>
      <c r="C26" s="84">
        <f>SUM(C22:C25)</f>
        <v>24</v>
      </c>
      <c r="D26" s="84">
        <f>SUM(D22:D25)</f>
        <v>22</v>
      </c>
      <c r="E26" s="84">
        <f>SUM(E22:E25)</f>
        <v>144</v>
      </c>
      <c r="F26" s="85">
        <f>IF(E26&gt;0,B26/E26,0)</f>
        <v>0.68055555555555558</v>
      </c>
      <c r="G26" s="84" t="s">
        <v>195</v>
      </c>
    </row>
    <row r="28" spans="1:7" ht="24.95" customHeight="1">
      <c r="A28" s="163" t="s">
        <v>196</v>
      </c>
      <c r="B28" s="158"/>
      <c r="C28" s="158"/>
      <c r="D28" s="158"/>
      <c r="E28" s="158"/>
      <c r="F28" s="158"/>
      <c r="G28" s="158"/>
    </row>
    <row r="29" spans="1:7">
      <c r="A29" s="86" t="s">
        <v>197</v>
      </c>
      <c r="B29" s="86" t="s">
        <v>11</v>
      </c>
      <c r="C29" s="86" t="s">
        <v>22</v>
      </c>
      <c r="D29" s="86" t="s">
        <v>12</v>
      </c>
      <c r="E29" s="86" t="s">
        <v>194</v>
      </c>
      <c r="F29" s="86" t="s">
        <v>135</v>
      </c>
      <c r="G29" s="86" t="s">
        <v>198</v>
      </c>
    </row>
    <row r="30" spans="1:7">
      <c r="A30" t="s">
        <v>1</v>
      </c>
      <c r="B30">
        <f>COUNTIFS('DOE Pivot &amp; Charts'!C5:C156,"Merlin",'DOE Pivot &amp; Charts'!E5:E156,"Pass")</f>
        <v>53</v>
      </c>
      <c r="C30">
        <f>COUNTIFS('DOE Pivot &amp; Charts'!C5:C156,"Merlin",'DOE Pivot &amp; Charts'!E5:E156,"Fail")</f>
        <v>12</v>
      </c>
      <c r="D30">
        <f>COUNTIFS('DOE Pivot &amp; Charts'!C5:C156,"Merlin",'DOE Pivot &amp; Charts'!E5:E156,"Damage")</f>
        <v>11</v>
      </c>
      <c r="E30">
        <f>B30+C30+D30</f>
        <v>76</v>
      </c>
      <c r="F30" s="52">
        <f>IF(E30&gt;0,B30/E30,0)</f>
        <v>0.69736842105263153</v>
      </c>
      <c r="G30" t="str">
        <f>IF(F30&gt;=0.75,"🟢 Excellent",IF(F30&gt;=0.6,"🟡 Good","🔴 Below Target"))</f>
        <v>🟡 Good</v>
      </c>
    </row>
    <row r="31" spans="1:7">
      <c r="A31" t="s">
        <v>2</v>
      </c>
      <c r="B31">
        <f>COUNTIFS('DOE Pivot &amp; Charts'!C5:C156,"SM3.5",'DOE Pivot &amp; Charts'!E5:E156,"Pass")</f>
        <v>45</v>
      </c>
      <c r="C31">
        <f>COUNTIFS('DOE Pivot &amp; Charts'!C5:C156,"SM3.5",'DOE Pivot &amp; Charts'!E5:E156,"Fail")</f>
        <v>12</v>
      </c>
      <c r="D31">
        <f>COUNTIFS('DOE Pivot &amp; Charts'!C5:C156,"SM3.5",'DOE Pivot &amp; Charts'!E5:E156,"Damage")</f>
        <v>11</v>
      </c>
      <c r="E31">
        <f>B31+C31+D31</f>
        <v>68</v>
      </c>
      <c r="F31" s="52">
        <f>IF(E31&gt;0,B31/E31,0)</f>
        <v>0.66176470588235292</v>
      </c>
      <c r="G31" t="str">
        <f>IF(F31&gt;=0.75,"🟢 Excellent",IF(F31&gt;=0.6,"🟡 Good","🔴 Below Target"))</f>
        <v>🟡 Good</v>
      </c>
    </row>
    <row r="32" spans="1:7">
      <c r="A32" s="87" t="s">
        <v>191</v>
      </c>
      <c r="B32" s="87">
        <f>SUM(B30:B31)</f>
        <v>98</v>
      </c>
      <c r="C32" s="87">
        <f>SUM(C30:C31)</f>
        <v>24</v>
      </c>
      <c r="D32" s="87">
        <f>SUM(D30:D31)</f>
        <v>22</v>
      </c>
      <c r="E32" s="87">
        <f>SUM(E30:E31)</f>
        <v>144</v>
      </c>
      <c r="F32" s="88">
        <f>IF(E32&gt;0,B32/E32,0)</f>
        <v>0.68055555555555558</v>
      </c>
      <c r="G32" s="87" t="s">
        <v>199</v>
      </c>
    </row>
    <row r="34" spans="1:6" ht="24.95" customHeight="1">
      <c r="A34" s="164" t="s">
        <v>200</v>
      </c>
      <c r="B34" s="158"/>
      <c r="C34" s="158"/>
      <c r="D34" s="158"/>
      <c r="E34" s="158"/>
      <c r="F34" s="158"/>
    </row>
    <row r="35" spans="1:6">
      <c r="A35" s="89" t="s">
        <v>139</v>
      </c>
      <c r="B35" s="89" t="s">
        <v>6</v>
      </c>
      <c r="C35" s="89" t="s">
        <v>7</v>
      </c>
      <c r="D35" s="89" t="s">
        <v>8</v>
      </c>
      <c r="E35" s="89" t="s">
        <v>136</v>
      </c>
      <c r="F35" s="89" t="s">
        <v>201</v>
      </c>
    </row>
    <row r="36" spans="1:6">
      <c r="A36" t="s">
        <v>4</v>
      </c>
      <c r="B36" s="52">
        <f>IFERROR(COUNTIFS('DOE Pivot &amp; Charts'!A5:A156,"WW13",'DOE Pivot &amp; Charts'!D5:D156,"Unit 1",'DOE Pivot &amp; Charts'!E5:E156,"Pass")/COUNTIFS('DOE Pivot &amp; Charts'!A5:A156,"WW13",'DOE Pivot &amp; Charts'!D5:D156,"Unit 1",'DOE Pivot &amp; Charts'!E5:E156,"&lt;&gt;"),0)</f>
        <v>0.75</v>
      </c>
      <c r="C36" s="52">
        <f>IFERROR(COUNTIFS('DOE Pivot &amp; Charts'!A5:A156,"WW13",'DOE Pivot &amp; Charts'!D5:D156,"Unit 2",'DOE Pivot &amp; Charts'!E5:E156,"Pass")/COUNTIFS('DOE Pivot &amp; Charts'!A5:A156,"WW13",'DOE Pivot &amp; Charts'!D5:D156,"Unit 2",'DOE Pivot &amp; Charts'!E5:E156,"&lt;&gt;"),0)</f>
        <v>0.75</v>
      </c>
      <c r="D36" s="52">
        <f>IFERROR(COUNTIFS('DOE Pivot &amp; Charts'!A5:A156,"WW13",'DOE Pivot &amp; Charts'!D5:D156,"Unit 3",'DOE Pivot &amp; Charts'!E5:E156,"Pass")/COUNTIFS('DOE Pivot &amp; Charts'!A5:A156,"WW13",'DOE Pivot &amp; Charts'!D5:D156,"Unit 3",'DOE Pivot &amp; Charts'!E5:E156,"&lt;&gt;"),0)</f>
        <v>0.75</v>
      </c>
      <c r="E36" s="52">
        <f>IFERROR(COUNTIFS('DOE Pivot &amp; Charts'!A5:A156,"WW13",'DOE Pivot &amp; Charts'!D5:D156,"Unit 4",'DOE Pivot &amp; Charts'!E5:E156,"Pass")/COUNTIFS('DOE Pivot &amp; Charts'!A5:A156,"WW13",'DOE Pivot &amp; Charts'!D5:D156,"Unit 4",'DOE Pivot &amp; Charts'!E5:E156,"&lt;&gt;"),0)</f>
        <v>0</v>
      </c>
      <c r="F36" s="52">
        <f>AVERAGE(B36:E36)</f>
        <v>0.5625</v>
      </c>
    </row>
    <row r="37" spans="1:6">
      <c r="A37" t="s">
        <v>140</v>
      </c>
      <c r="B37" s="52">
        <f>IFERROR(COUNTIFS('DOE Pivot &amp; Charts'!A5:A156,"WW14",'DOE Pivot &amp; Charts'!D5:D156,"Unit 1",'DOE Pivot &amp; Charts'!E5:E156,"Pass")/COUNTIFS('DOE Pivot &amp; Charts'!A5:A156,"WW14",'DOE Pivot &amp; Charts'!D5:D156,"Unit 1",'DOE Pivot &amp; Charts'!E5:E156,"&lt;&gt;"),0)</f>
        <v>0.66666666666666663</v>
      </c>
      <c r="C37" s="52">
        <f>IFERROR(COUNTIFS('DOE Pivot &amp; Charts'!A5:A156,"WW14",'DOE Pivot &amp; Charts'!D5:D156,"Unit 2",'DOE Pivot &amp; Charts'!E5:E156,"Pass")/COUNTIFS('DOE Pivot &amp; Charts'!A5:A156,"WW14",'DOE Pivot &amp; Charts'!D5:D156,"Unit 2",'DOE Pivot &amp; Charts'!E5:E156,"&lt;&gt;"),0)</f>
        <v>0.66666666666666663</v>
      </c>
      <c r="D37" s="52">
        <f>IFERROR(COUNTIFS('DOE Pivot &amp; Charts'!A5:A156,"WW14",'DOE Pivot &amp; Charts'!D5:D156,"Unit 3",'DOE Pivot &amp; Charts'!E5:E156,"Pass")/COUNTIFS('DOE Pivot &amp; Charts'!A5:A156,"WW14",'DOE Pivot &amp; Charts'!D5:D156,"Unit 3",'DOE Pivot &amp; Charts'!E5:E156,"&lt;&gt;"),0)</f>
        <v>0.33333333333333331</v>
      </c>
      <c r="E37" s="52">
        <f>IFERROR(COUNTIFS('DOE Pivot &amp; Charts'!A5:A156,"WW14",'DOE Pivot &amp; Charts'!D5:D156,"Unit 4",'DOE Pivot &amp; Charts'!E5:E156,"Pass")/COUNTIFS('DOE Pivot &amp; Charts'!A5:A156,"WW14",'DOE Pivot &amp; Charts'!D5:D156,"Unit 4",'DOE Pivot &amp; Charts'!E5:E156,"&lt;&gt;"),0)</f>
        <v>0.5</v>
      </c>
      <c r="F37" s="52">
        <f>AVERAGE(B37:E37)</f>
        <v>0.54166666666666663</v>
      </c>
    </row>
    <row r="38" spans="1:6">
      <c r="A38" t="s">
        <v>141</v>
      </c>
      <c r="B38" s="52">
        <f>IFERROR(COUNTIFS('DOE Pivot &amp; Charts'!A5:A156,"WW15",'DOE Pivot &amp; Charts'!D5:D156,"Unit 1",'DOE Pivot &amp; Charts'!E5:E156,"Pass")/COUNTIFS('DOE Pivot &amp; Charts'!A5:A156,"WW15",'DOE Pivot &amp; Charts'!D5:D156,"Unit 1",'DOE Pivot &amp; Charts'!E5:E156,"&lt;&gt;"),0)</f>
        <v>1</v>
      </c>
      <c r="C38" s="52">
        <f>IFERROR(COUNTIFS('DOE Pivot &amp; Charts'!A5:A156,"WW15",'DOE Pivot &amp; Charts'!D5:D156,"Unit 2",'DOE Pivot &amp; Charts'!E5:E156,"Pass")/COUNTIFS('DOE Pivot &amp; Charts'!A5:A156,"WW15",'DOE Pivot &amp; Charts'!D5:D156,"Unit 2",'DOE Pivot &amp; Charts'!E5:E156,"&lt;&gt;"),0)</f>
        <v>0.75</v>
      </c>
      <c r="D38" s="52">
        <f>IFERROR(COUNTIFS('DOE Pivot &amp; Charts'!A5:A156,"WW15",'DOE Pivot &amp; Charts'!D5:D156,"Unit 3",'DOE Pivot &amp; Charts'!E5:E156,"Pass")/COUNTIFS('DOE Pivot &amp; Charts'!A5:A156,"WW15",'DOE Pivot &amp; Charts'!D5:D156,"Unit 3",'DOE Pivot &amp; Charts'!E5:E156,"&lt;&gt;"),0)</f>
        <v>1</v>
      </c>
      <c r="E38" s="52">
        <f>IFERROR(COUNTIFS('DOE Pivot &amp; Charts'!A5:A156,"WW15",'DOE Pivot &amp; Charts'!D5:D156,"Unit 4",'DOE Pivot &amp; Charts'!E5:E156,"Pass")/COUNTIFS('DOE Pivot &amp; Charts'!A5:A156,"WW15",'DOE Pivot &amp; Charts'!D5:D156,"Unit 4",'DOE Pivot &amp; Charts'!E5:E156,"&lt;&gt;"),0)</f>
        <v>0.875</v>
      </c>
      <c r="F38" s="52">
        <f>AVERAGE(B38:E38)</f>
        <v>0.90625</v>
      </c>
    </row>
    <row r="39" spans="1:6">
      <c r="A39" t="s">
        <v>190</v>
      </c>
      <c r="B39" s="52">
        <f>IFERROR(COUNTIFS('DOE Pivot &amp; Charts'!A5:A156,"WW16",'DOE Pivot &amp; Charts'!D5:D156,"Unit 1",'DOE Pivot &amp; Charts'!E5:E156,"Pass")/COUNTIFS('DOE Pivot &amp; Charts'!A5:A156,"WW16",'DOE Pivot &amp; Charts'!D5:D156,"Unit 1",'DOE Pivot &amp; Charts'!E5:E156,"&lt;&gt;"),0)</f>
        <v>0.6</v>
      </c>
      <c r="C39" s="52">
        <f>IFERROR(COUNTIFS('DOE Pivot &amp; Charts'!A5:A156,"WW16",'DOE Pivot &amp; Charts'!D5:D156,"Unit 2",'DOE Pivot &amp; Charts'!E5:E156,"Pass")/COUNTIFS('DOE Pivot &amp; Charts'!A5:A156,"WW16",'DOE Pivot &amp; Charts'!D5:D156,"Unit 2",'DOE Pivot &amp; Charts'!E5:E156,"&lt;&gt;"),0)</f>
        <v>0.6</v>
      </c>
      <c r="D39" s="52">
        <f>IFERROR(COUNTIFS('DOE Pivot &amp; Charts'!A5:A156,"WW16",'DOE Pivot &amp; Charts'!D5:D156,"Unit 3",'DOE Pivot &amp; Charts'!E5:E156,"Pass")/COUNTIFS('DOE Pivot &amp; Charts'!A5:A156,"WW16",'DOE Pivot &amp; Charts'!D5:D156,"Unit 3",'DOE Pivot &amp; Charts'!E5:E156,"&lt;&gt;"),0)</f>
        <v>0.5</v>
      </c>
      <c r="E39" s="52">
        <f>IFERROR(COUNTIFS('DOE Pivot &amp; Charts'!A5:A156,"WW16",'DOE Pivot &amp; Charts'!D5:D156,"Unit 4",'DOE Pivot &amp; Charts'!E5:E156,"Pass")/COUNTIFS('DOE Pivot &amp; Charts'!A5:A156,"WW16",'DOE Pivot &amp; Charts'!D5:D156,"Unit 4",'DOE Pivot &amp; Charts'!E5:E156,"&lt;&gt;"),0)</f>
        <v>0.8</v>
      </c>
      <c r="F39" s="52">
        <f>AVERAGE(B39:E39)</f>
        <v>0.625</v>
      </c>
    </row>
    <row r="40" spans="1:6">
      <c r="A40" s="90" t="s">
        <v>202</v>
      </c>
      <c r="B40" s="91">
        <f>AVERAGE(B36:B39)</f>
        <v>0.75416666666666665</v>
      </c>
      <c r="C40" s="91">
        <f>AVERAGE(C36:C39)</f>
        <v>0.69166666666666665</v>
      </c>
      <c r="D40" s="91">
        <f>AVERAGE(D36:D39)</f>
        <v>0.64583333333333326</v>
      </c>
      <c r="E40" s="91">
        <f>AVERAGE(E36:E39)</f>
        <v>0.54374999999999996</v>
      </c>
      <c r="F40" s="91">
        <f>AVERAGE(B40:E40)</f>
        <v>0.65885416666666674</v>
      </c>
    </row>
    <row r="42" spans="1:6" ht="24.95" customHeight="1">
      <c r="A42" s="165" t="s">
        <v>203</v>
      </c>
      <c r="B42" s="158"/>
      <c r="C42" s="158"/>
      <c r="D42" s="158"/>
      <c r="E42" s="158"/>
      <c r="F42" s="158"/>
    </row>
    <row r="43" spans="1:6">
      <c r="A43" s="92" t="s">
        <v>204</v>
      </c>
      <c r="B43" s="92" t="s">
        <v>205</v>
      </c>
      <c r="C43" s="92" t="s">
        <v>206</v>
      </c>
      <c r="D43" s="92" t="s">
        <v>207</v>
      </c>
      <c r="E43" s="92" t="s">
        <v>174</v>
      </c>
      <c r="F43" s="92" t="s">
        <v>208</v>
      </c>
    </row>
    <row r="44" spans="1:6">
      <c r="A44" t="s">
        <v>209</v>
      </c>
      <c r="B44" s="52">
        <f>F14</f>
        <v>0.5625</v>
      </c>
      <c r="C44" s="52">
        <f>F15</f>
        <v>0.54166666666666663</v>
      </c>
      <c r="D44" s="93">
        <f>C44-B44</f>
        <v>-2.083333333333337E-2</v>
      </c>
      <c r="E44" t="str">
        <f>IF(D44&gt;0.05,"📈 Improving",IF(D44&lt;-0.05,"📉 Declining","➡️ Stable"))</f>
        <v>➡️ Stable</v>
      </c>
      <c r="F44" t="str">
        <f>IF(D44&lt;-0.05,"⚠️ Investigate","✅ Continue")</f>
        <v>✅ Continue</v>
      </c>
    </row>
    <row r="45" spans="1:6">
      <c r="A45" t="s">
        <v>210</v>
      </c>
      <c r="B45" s="52">
        <f>F15</f>
        <v>0.54166666666666663</v>
      </c>
      <c r="C45" s="52">
        <f>F16</f>
        <v>0.90625</v>
      </c>
      <c r="D45" s="93">
        <f>C45-B45</f>
        <v>0.36458333333333337</v>
      </c>
      <c r="E45" t="str">
        <f>IF(D45&gt;0.05,"📈 Improving",IF(D45&lt;-0.05,"📉 Declining","➡️ Stable"))</f>
        <v>📈 Improving</v>
      </c>
      <c r="F45" t="str">
        <f>IF(D45&lt;-0.05,"⚠️ Investigate","✅ Continue")</f>
        <v>✅ Continue</v>
      </c>
    </row>
    <row r="46" spans="1:6">
      <c r="A46" t="s">
        <v>211</v>
      </c>
      <c r="B46" s="52">
        <f>F16</f>
        <v>0.90625</v>
      </c>
      <c r="C46" s="52">
        <f>F17</f>
        <v>0.78125</v>
      </c>
      <c r="D46" s="93">
        <f>C46-B46</f>
        <v>-0.125</v>
      </c>
      <c r="E46" t="str">
        <f>IF(D46&gt;0.05,"📈 Improving",IF(D46&lt;-0.05,"📉 Declining","➡️ Stable"))</f>
        <v>📉 Declining</v>
      </c>
      <c r="F46" t="str">
        <f>IF(D46&lt;-0.05,"⚠️ Investigate","✅ Continue")</f>
        <v>⚠️ Investigate</v>
      </c>
    </row>
    <row r="48" spans="1:6" ht="24.95" customHeight="1">
      <c r="A48" s="166" t="s">
        <v>212</v>
      </c>
      <c r="B48" s="158"/>
      <c r="C48" s="158"/>
      <c r="D48" s="158"/>
      <c r="E48" s="158"/>
      <c r="F48" s="158"/>
    </row>
    <row r="49" spans="1:6">
      <c r="A49" s="94" t="s">
        <v>148</v>
      </c>
      <c r="B49" s="94" t="s">
        <v>149</v>
      </c>
      <c r="C49" s="94" t="s">
        <v>213</v>
      </c>
      <c r="D49" s="94" t="s">
        <v>214</v>
      </c>
      <c r="E49" s="94" t="s">
        <v>215</v>
      </c>
      <c r="F49" s="94" t="s">
        <v>216</v>
      </c>
    </row>
    <row r="50" spans="1:6">
      <c r="A50" s="72" t="s">
        <v>217</v>
      </c>
      <c r="B50" s="72" t="str">
        <f>"WW15: "&amp;TEXT(F16,"0.0%")&amp;" pass rate"</f>
        <v>WW15: 90.6% pass rate</v>
      </c>
      <c r="C50" s="72" t="s">
        <v>218</v>
      </c>
      <c r="D50" s="72" t="s">
        <v>159</v>
      </c>
      <c r="E50" s="72" t="s">
        <v>219</v>
      </c>
      <c r="F50" s="72" t="s">
        <v>220</v>
      </c>
    </row>
    <row r="51" spans="1:6">
      <c r="A51" s="71" t="s">
        <v>221</v>
      </c>
      <c r="B51" s="71" t="str">
        <f>"Unit 4: "&amp;TEXT(F25,"0.0%")&amp;" pass rate"</f>
        <v>Unit 4: 58.3% pass rate</v>
      </c>
      <c r="C51" s="71" t="s">
        <v>218</v>
      </c>
      <c r="D51" s="71" t="s">
        <v>222</v>
      </c>
      <c r="E51" s="71" t="s">
        <v>218</v>
      </c>
      <c r="F51" s="71" t="s">
        <v>223</v>
      </c>
    </row>
    <row r="52" spans="1:6">
      <c r="A52" s="70" t="s">
        <v>224</v>
      </c>
      <c r="B52" s="70" t="str">
        <f>TEXT(C9,"0.0%")&amp;" overall damage rate"</f>
        <v>14.5% overall damage rate</v>
      </c>
      <c r="C52" s="70" t="s">
        <v>219</v>
      </c>
      <c r="D52" s="70" t="s">
        <v>162</v>
      </c>
      <c r="E52" s="70" t="s">
        <v>219</v>
      </c>
      <c r="F52" s="70" t="s">
        <v>225</v>
      </c>
    </row>
    <row r="53" spans="1:6">
      <c r="A53" s="71" t="s">
        <v>226</v>
      </c>
      <c r="B53" s="71" t="str">
        <f>"Observed "&amp;COUNTIF('DOE Pivot &amp; Charts'!F5:F156,"*VDDQc*")&amp;" times in remarks"</f>
        <v>Observed 13 times in remarks</v>
      </c>
      <c r="C53" s="71" t="s">
        <v>218</v>
      </c>
      <c r="D53" s="71" t="s">
        <v>168</v>
      </c>
      <c r="E53" s="71" t="s">
        <v>227</v>
      </c>
      <c r="F53" s="71" t="s">
        <v>228</v>
      </c>
    </row>
    <row r="54" spans="1:6">
      <c r="A54" s="72" t="s">
        <v>229</v>
      </c>
      <c r="B54" s="72" t="str">
        <f>"Improving: "&amp;TEXT(F14,"0.0%")&amp;" → "&amp;TEXT(F16,"0.0%")</f>
        <v>Improving: 56.3% → 90.6%</v>
      </c>
      <c r="C54" s="72" t="s">
        <v>230</v>
      </c>
      <c r="D54" s="72" t="s">
        <v>231</v>
      </c>
      <c r="E54" s="72" t="s">
        <v>232</v>
      </c>
      <c r="F54" s="72" t="s">
        <v>233</v>
      </c>
    </row>
    <row r="55" spans="1:6">
      <c r="A55" s="75" t="s">
        <v>186</v>
      </c>
      <c r="B55" s="75" t="str">
        <f>B10&amp;" units pending testing"</f>
        <v>8 units pending testing</v>
      </c>
      <c r="C55" s="75" t="s">
        <v>219</v>
      </c>
      <c r="D55" s="75" t="s">
        <v>165</v>
      </c>
      <c r="E55" s="75" t="s">
        <v>219</v>
      </c>
      <c r="F55" s="75" t="s">
        <v>234</v>
      </c>
    </row>
    <row r="57" spans="1:6" ht="24.95" customHeight="1">
      <c r="A57" s="167" t="s">
        <v>235</v>
      </c>
      <c r="B57" s="158"/>
      <c r="C57" s="158"/>
      <c r="D57" s="158"/>
      <c r="E57" s="158"/>
    </row>
    <row r="58" spans="1:6">
      <c r="A58" s="95" t="s">
        <v>236</v>
      </c>
      <c r="B58" s="95" t="s">
        <v>237</v>
      </c>
      <c r="C58" s="95" t="s">
        <v>238</v>
      </c>
      <c r="D58" s="95" t="s">
        <v>239</v>
      </c>
      <c r="E58" s="95" t="s">
        <v>143</v>
      </c>
    </row>
    <row r="59" spans="1:6">
      <c r="A59" s="71" t="s">
        <v>167</v>
      </c>
      <c r="B59" s="71">
        <f>COUNTIF('DOE Pivot &amp; Charts'!F5:F156,"*VDDQc*")</f>
        <v>13</v>
      </c>
      <c r="C59" s="77">
        <f>IFERROR(B59/B8,0)</f>
        <v>0.54166666666666663</v>
      </c>
      <c r="D59" s="71" t="s">
        <v>227</v>
      </c>
      <c r="E59" s="71" t="s">
        <v>240</v>
      </c>
    </row>
    <row r="60" spans="1:6">
      <c r="A60" s="70" t="s">
        <v>241</v>
      </c>
      <c r="B60" s="70">
        <f>COUNTIF('DOE Pivot &amp; Charts'!F5:F156,"*HSRT*")</f>
        <v>1</v>
      </c>
      <c r="C60" s="78">
        <f>IFERROR(B60/B8,0)</f>
        <v>4.1666666666666664E-2</v>
      </c>
      <c r="D60" s="70" t="s">
        <v>219</v>
      </c>
      <c r="E60" s="70" t="s">
        <v>242</v>
      </c>
    </row>
    <row r="61" spans="1:6">
      <c r="A61" s="72" t="s">
        <v>243</v>
      </c>
      <c r="B61" s="72">
        <f>COUNTIF('DOE Pivot &amp; Charts'!F5:F156,"*PE*")</f>
        <v>13</v>
      </c>
      <c r="C61" s="76">
        <f>IFERROR(B61/B8,0)</f>
        <v>0.54166666666666663</v>
      </c>
      <c r="D61" s="72" t="s">
        <v>232</v>
      </c>
      <c r="E61" s="72" t="s">
        <v>244</v>
      </c>
    </row>
    <row r="62" spans="1:6">
      <c r="A62" s="74" t="s">
        <v>245</v>
      </c>
      <c r="B62" s="74">
        <f>B8-B59-B60-B61</f>
        <v>-3</v>
      </c>
      <c r="C62" s="96">
        <f>IFERROR(B62/B8,0)</f>
        <v>-0.125</v>
      </c>
      <c r="D62" s="74" t="s">
        <v>246</v>
      </c>
      <c r="E62" s="74" t="s">
        <v>247</v>
      </c>
    </row>
    <row r="64" spans="1:6" ht="24.95" customHeight="1">
      <c r="A64" s="168" t="s">
        <v>248</v>
      </c>
      <c r="B64" s="158"/>
      <c r="C64" s="158"/>
      <c r="D64" s="158"/>
      <c r="E64" s="158"/>
      <c r="F64" s="158"/>
    </row>
    <row r="65" spans="1:6">
      <c r="A65" s="81" t="s">
        <v>53</v>
      </c>
      <c r="B65" s="81" t="s">
        <v>69</v>
      </c>
      <c r="C65" s="81" t="s">
        <v>172</v>
      </c>
      <c r="D65" s="81" t="s">
        <v>143</v>
      </c>
      <c r="E65" s="81" t="s">
        <v>173</v>
      </c>
      <c r="F65" s="81" t="s">
        <v>174</v>
      </c>
    </row>
    <row r="66" spans="1:6">
      <c r="A66" t="s">
        <v>249</v>
      </c>
      <c r="B66" s="52">
        <f>C7</f>
        <v>0.64473684210526316</v>
      </c>
      <c r="C66" t="s">
        <v>179</v>
      </c>
      <c r="D66" t="str">
        <f>IF(B66&gt;=0.75,"✅ On Target","⚠️ Below Target")</f>
        <v>⚠️ Below Target</v>
      </c>
      <c r="E66" t="str">
        <f>REPT("█",ROUND(B66*10,0))&amp;REPT("░",10-ROUND(B66*10,0))</f>
        <v>██████░░░░</v>
      </c>
      <c r="F66" t="s">
        <v>177</v>
      </c>
    </row>
    <row r="67" spans="1:6">
      <c r="A67" s="72" t="s">
        <v>250</v>
      </c>
      <c r="B67" s="76">
        <f>F16</f>
        <v>0.90625</v>
      </c>
      <c r="C67" s="72" t="s">
        <v>132</v>
      </c>
      <c r="D67" s="72" t="s">
        <v>251</v>
      </c>
      <c r="E67" s="72" t="str">
        <f>REPT("█",ROUND(B67*10,0))&amp;REPT("░",10-ROUND(B67*10,0))</f>
        <v>█████████░</v>
      </c>
      <c r="F67" s="72" t="s">
        <v>180</v>
      </c>
    </row>
    <row r="68" spans="1:6">
      <c r="A68" s="71" t="s">
        <v>252</v>
      </c>
      <c r="B68" s="77">
        <f>F25</f>
        <v>0.58333333333333337</v>
      </c>
      <c r="C68" s="71" t="s">
        <v>253</v>
      </c>
      <c r="D68" s="71" t="str">
        <f>IF(B68&gt;=0.7,"✅ OK","🔴 Needs Focus")</f>
        <v>🔴 Needs Focus</v>
      </c>
      <c r="E68" s="71" t="str">
        <f>REPT("█",ROUND(B68*10,0))&amp;REPT("░",10-ROUND(B68*10,0))</f>
        <v>██████░░░░</v>
      </c>
      <c r="F68" s="71" t="s">
        <v>183</v>
      </c>
    </row>
    <row r="69" spans="1:6">
      <c r="A69" s="70" t="s">
        <v>254</v>
      </c>
      <c r="B69" s="78">
        <f>C9</f>
        <v>0.14473684210526316</v>
      </c>
      <c r="C69" s="70" t="s">
        <v>182</v>
      </c>
      <c r="D69" s="70" t="str">
        <f>IF(B69&lt;=0.1,"✅ Good","⚠️ High")</f>
        <v>⚠️ High</v>
      </c>
      <c r="E69" s="70" t="str">
        <f>REPT("█",ROUND(B69*10,0))&amp;REPT("░",10-ROUND(B69*10,0))</f>
        <v>█░░░░░░░░░</v>
      </c>
      <c r="F69" s="70" t="s">
        <v>185</v>
      </c>
    </row>
    <row r="70" spans="1:6">
      <c r="A70" s="71" t="s">
        <v>255</v>
      </c>
      <c r="B70" s="77">
        <f>C8</f>
        <v>0.15789473684210525</v>
      </c>
      <c r="C70" s="71" t="s">
        <v>182</v>
      </c>
      <c r="D70" s="71" t="str">
        <f>IF(B70&lt;=0.1,"✅ Good","🔴 High")</f>
        <v>🔴 High</v>
      </c>
      <c r="E70" s="71" t="str">
        <f>REPT("█",ROUND(B70*10,0))&amp;REPT("░",10-ROUND(B70*10,0))</f>
        <v>██░░░░░░░░</v>
      </c>
      <c r="F70" s="71" t="s">
        <v>256</v>
      </c>
    </row>
    <row r="72" spans="1:6" ht="24.95" customHeight="1">
      <c r="A72" s="169" t="s">
        <v>257</v>
      </c>
      <c r="B72" s="158"/>
      <c r="C72" s="158"/>
      <c r="D72" s="158"/>
      <c r="E72" s="158"/>
      <c r="F72" s="158"/>
    </row>
    <row r="73" spans="1:6">
      <c r="A73" s="97" t="s">
        <v>258</v>
      </c>
      <c r="B73" s="97" t="s">
        <v>259</v>
      </c>
      <c r="C73" s="97" t="s">
        <v>260</v>
      </c>
      <c r="D73" s="97" t="s">
        <v>261</v>
      </c>
      <c r="E73" s="97" t="s">
        <v>208</v>
      </c>
      <c r="F73" s="97" t="s">
        <v>56</v>
      </c>
    </row>
    <row r="74" spans="1:6">
      <c r="A74" s="72" t="s">
        <v>262</v>
      </c>
      <c r="B74" s="72" t="s">
        <v>263</v>
      </c>
      <c r="C74" s="72" t="s">
        <v>264</v>
      </c>
      <c r="D74" s="72" t="s">
        <v>265</v>
      </c>
      <c r="E74" s="72" t="s">
        <v>266</v>
      </c>
      <c r="F74" s="72" t="s">
        <v>267</v>
      </c>
    </row>
    <row r="75" spans="1:6">
      <c r="A75" s="70" t="s">
        <v>268</v>
      </c>
      <c r="B75" s="70" t="s">
        <v>269</v>
      </c>
      <c r="C75" s="70" t="s">
        <v>270</v>
      </c>
      <c r="D75" s="70" t="s">
        <v>271</v>
      </c>
      <c r="E75" s="70" t="s">
        <v>272</v>
      </c>
      <c r="F75" s="70" t="s">
        <v>273</v>
      </c>
    </row>
    <row r="76" spans="1:6">
      <c r="A76" s="71" t="s">
        <v>274</v>
      </c>
      <c r="B76" s="71" t="s">
        <v>275</v>
      </c>
      <c r="C76" s="71" t="s">
        <v>276</v>
      </c>
      <c r="D76" s="71" t="s">
        <v>277</v>
      </c>
      <c r="E76" s="71" t="s">
        <v>278</v>
      </c>
      <c r="F76" s="71" t="s">
        <v>279</v>
      </c>
    </row>
    <row r="77" spans="1:6">
      <c r="A77" s="72" t="s">
        <v>180</v>
      </c>
      <c r="B77" s="72" t="s">
        <v>280</v>
      </c>
      <c r="C77" s="72" t="s">
        <v>281</v>
      </c>
      <c r="D77" s="72" t="s">
        <v>282</v>
      </c>
      <c r="E77" s="72" t="s">
        <v>283</v>
      </c>
      <c r="F77" s="72" t="s">
        <v>284</v>
      </c>
    </row>
    <row r="78" spans="1:6">
      <c r="A78" s="71" t="s">
        <v>285</v>
      </c>
      <c r="B78" s="71" t="s">
        <v>286</v>
      </c>
      <c r="C78" s="71" t="s">
        <v>287</v>
      </c>
      <c r="D78" s="71" t="s">
        <v>288</v>
      </c>
      <c r="E78" s="71" t="s">
        <v>289</v>
      </c>
      <c r="F78" s="71" t="s">
        <v>290</v>
      </c>
    </row>
    <row r="79" spans="1:6">
      <c r="A79" s="75" t="s">
        <v>291</v>
      </c>
      <c r="B79" s="75" t="s">
        <v>292</v>
      </c>
      <c r="C79" s="75" t="s">
        <v>293</v>
      </c>
      <c r="D79" s="75" t="s">
        <v>294</v>
      </c>
      <c r="E79" s="75" t="s">
        <v>295</v>
      </c>
      <c r="F79" s="75" t="s">
        <v>296</v>
      </c>
    </row>
  </sheetData>
  <mergeCells count="12">
    <mergeCell ref="A42:F42"/>
    <mergeCell ref="A48:F48"/>
    <mergeCell ref="A57:E57"/>
    <mergeCell ref="A64:F64"/>
    <mergeCell ref="A72:F72"/>
    <mergeCell ref="A28:G28"/>
    <mergeCell ref="A34:F34"/>
    <mergeCell ref="A1:M1"/>
    <mergeCell ref="A2:M2"/>
    <mergeCell ref="A4:G4"/>
    <mergeCell ref="A12:G12"/>
    <mergeCell ref="A20:G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FED7-AEA6-4EF9-A121-EB2B9D2C73BD}">
  <dimension ref="A1:N156"/>
  <sheetViews>
    <sheetView workbookViewId="0">
      <selection activeCell="I5" sqref="I5"/>
    </sheetView>
  </sheetViews>
  <sheetFormatPr defaultRowHeight="15"/>
  <cols>
    <col min="1" max="1" width="8.5703125" bestFit="1" customWidth="1"/>
    <col min="2" max="3" width="10.42578125" bestFit="1" customWidth="1"/>
    <col min="4" max="4" width="7.28515625" bestFit="1" customWidth="1"/>
    <col min="5" max="5" width="9" bestFit="1" customWidth="1"/>
    <col min="6" max="6" width="33.28515625" bestFit="1" customWidth="1"/>
    <col min="8" max="8" width="8.28515625" bestFit="1" customWidth="1"/>
    <col min="9" max="9" width="16.140625" bestFit="1" customWidth="1"/>
    <col min="10" max="10" width="15.85546875" bestFit="1" customWidth="1"/>
    <col min="11" max="11" width="16.140625" bestFit="1" customWidth="1"/>
    <col min="12" max="12" width="13.42578125" bestFit="1" customWidth="1"/>
    <col min="13" max="13" width="11.140625" bestFit="1" customWidth="1"/>
    <col min="14" max="14" width="15.85546875" bestFit="1" customWidth="1"/>
  </cols>
  <sheetData>
    <row r="1" spans="1:14" ht="21">
      <c r="A1" s="170" t="s">
        <v>297</v>
      </c>
      <c r="B1" s="170"/>
      <c r="C1" s="170"/>
      <c r="D1" s="170"/>
      <c r="E1" s="170"/>
      <c r="F1" s="170"/>
    </row>
    <row r="2" spans="1:14">
      <c r="A2" s="171" t="s">
        <v>298</v>
      </c>
      <c r="B2" s="171"/>
      <c r="C2" s="171"/>
      <c r="D2" s="171"/>
      <c r="E2" s="171"/>
      <c r="F2" s="171"/>
    </row>
    <row r="3" spans="1:14">
      <c r="H3" s="140" t="s">
        <v>299</v>
      </c>
      <c r="I3" s="140"/>
      <c r="J3" s="140"/>
      <c r="K3" s="140"/>
      <c r="L3" s="1"/>
      <c r="M3" s="1"/>
      <c r="N3" s="1"/>
    </row>
    <row r="4" spans="1:14">
      <c r="A4" t="s">
        <v>139</v>
      </c>
      <c r="B4" t="s">
        <v>5</v>
      </c>
      <c r="C4" t="s">
        <v>197</v>
      </c>
      <c r="D4" t="s">
        <v>300</v>
      </c>
      <c r="E4" t="s">
        <v>143</v>
      </c>
      <c r="F4" t="s">
        <v>301</v>
      </c>
      <c r="H4" s="60" t="s">
        <v>143</v>
      </c>
      <c r="I4" s="60" t="s">
        <v>1</v>
      </c>
      <c r="J4" s="60" t="s">
        <v>2</v>
      </c>
      <c r="K4" s="60" t="s">
        <v>194</v>
      </c>
      <c r="L4" s="1"/>
      <c r="M4" s="1"/>
      <c r="N4" s="1"/>
    </row>
    <row r="5" spans="1:14" hidden="1">
      <c r="A5" t="s">
        <v>4</v>
      </c>
      <c r="B5" t="s">
        <v>10</v>
      </c>
      <c r="C5" t="s">
        <v>1</v>
      </c>
      <c r="D5" t="s">
        <v>6</v>
      </c>
      <c r="E5" t="s">
        <v>11</v>
      </c>
      <c r="H5" s="1" t="s">
        <v>11</v>
      </c>
      <c r="I5" s="1">
        <f>COUNTIFS(DOE_Flat[Product],"Merlin",DOE_Flat[Status],$H5)</f>
        <v>53</v>
      </c>
      <c r="J5" s="1">
        <f>COUNTIFS(DOE_Flat[Product],"SM3.5",DOE_Flat[Status],$H5)</f>
        <v>45</v>
      </c>
      <c r="K5" s="1">
        <f>SUM(I5:J5)</f>
        <v>98</v>
      </c>
      <c r="L5" s="1"/>
      <c r="M5" s="1"/>
      <c r="N5" s="1"/>
    </row>
    <row r="6" spans="1:14">
      <c r="A6" t="s">
        <v>4</v>
      </c>
      <c r="B6" t="s">
        <v>10</v>
      </c>
      <c r="C6" t="s">
        <v>2</v>
      </c>
      <c r="D6" t="s">
        <v>6</v>
      </c>
      <c r="E6" t="s">
        <v>11</v>
      </c>
      <c r="H6" s="1" t="s">
        <v>22</v>
      </c>
      <c r="I6" s="1">
        <f>COUNTIFS(DOE_Flat[Product],"Merlin",DOE_Flat[Status],$H6)</f>
        <v>12</v>
      </c>
      <c r="J6" s="1">
        <f>COUNTIFS(DOE_Flat[Product],"SM3.5",DOE_Flat[Status],$H6)</f>
        <v>12</v>
      </c>
      <c r="K6" s="1">
        <f t="shared" ref="K6:K8" si="0">SUM(I6:J6)</f>
        <v>24</v>
      </c>
      <c r="L6" s="1"/>
      <c r="M6" s="1"/>
      <c r="N6" s="1"/>
    </row>
    <row r="7" spans="1:14" hidden="1">
      <c r="A7" t="s">
        <v>4</v>
      </c>
      <c r="B7" t="s">
        <v>10</v>
      </c>
      <c r="C7" t="s">
        <v>1</v>
      </c>
      <c r="D7" t="s">
        <v>7</v>
      </c>
      <c r="E7" t="s">
        <v>11</v>
      </c>
      <c r="H7" s="1" t="s">
        <v>12</v>
      </c>
      <c r="I7" s="1">
        <f>COUNTIFS(DOE_Flat[Product],"Merlin",DOE_Flat[Status],$H7)</f>
        <v>11</v>
      </c>
      <c r="J7" s="1">
        <f>COUNTIFS(DOE_Flat[Product],"SM3.5",DOE_Flat[Status],$H7)</f>
        <v>11</v>
      </c>
      <c r="K7" s="1">
        <f t="shared" si="0"/>
        <v>22</v>
      </c>
      <c r="L7" s="1"/>
      <c r="M7" s="1"/>
      <c r="N7" s="1"/>
    </row>
    <row r="8" spans="1:14">
      <c r="A8" t="s">
        <v>4</v>
      </c>
      <c r="B8" t="s">
        <v>10</v>
      </c>
      <c r="C8" t="s">
        <v>2</v>
      </c>
      <c r="D8" t="s">
        <v>7</v>
      </c>
      <c r="E8" t="s">
        <v>11</v>
      </c>
      <c r="H8" s="1" t="s">
        <v>302</v>
      </c>
      <c r="I8" s="1">
        <f>COUNTIFS(DOE_Flat[Product],"Merlin",DOE_Flat[Status],$H8)</f>
        <v>0</v>
      </c>
      <c r="J8" s="1">
        <f>COUNTIFS(DOE_Flat[Product],"SM3.5",DOE_Flat[Status],$H8)</f>
        <v>8</v>
      </c>
      <c r="K8" s="1">
        <f t="shared" si="0"/>
        <v>8</v>
      </c>
      <c r="L8" s="1"/>
      <c r="M8" s="1"/>
      <c r="N8" s="1"/>
    </row>
    <row r="9" spans="1:14" hidden="1">
      <c r="A9" t="s">
        <v>4</v>
      </c>
      <c r="B9" t="s">
        <v>10</v>
      </c>
      <c r="C9" t="s">
        <v>1</v>
      </c>
      <c r="D9" t="s">
        <v>8</v>
      </c>
      <c r="E9" t="s">
        <v>11</v>
      </c>
      <c r="H9" s="1"/>
      <c r="I9" s="1"/>
      <c r="J9" s="1"/>
      <c r="K9" s="1"/>
      <c r="L9" s="1"/>
      <c r="M9" s="1"/>
      <c r="N9" s="1"/>
    </row>
    <row r="10" spans="1:14">
      <c r="A10" t="s">
        <v>4</v>
      </c>
      <c r="B10" t="s">
        <v>10</v>
      </c>
      <c r="C10" t="s">
        <v>2</v>
      </c>
      <c r="D10" t="s">
        <v>8</v>
      </c>
      <c r="E10" t="s">
        <v>11</v>
      </c>
      <c r="H10" s="1"/>
      <c r="I10" s="1"/>
      <c r="J10" s="1"/>
      <c r="K10" s="1"/>
      <c r="L10" s="1"/>
      <c r="M10" s="1"/>
      <c r="N10" s="1"/>
    </row>
    <row r="11" spans="1:14" hidden="1">
      <c r="A11" t="s">
        <v>4</v>
      </c>
      <c r="B11" t="s">
        <v>10</v>
      </c>
      <c r="C11" t="s">
        <v>1</v>
      </c>
      <c r="D11" t="s">
        <v>136</v>
      </c>
      <c r="E11" t="s">
        <v>12</v>
      </c>
      <c r="H11" s="61" t="s">
        <v>137</v>
      </c>
      <c r="I11" s="61">
        <f>SUM(I5:I10)</f>
        <v>76</v>
      </c>
      <c r="J11" s="61">
        <f>SUM(J5:J10)</f>
        <v>76</v>
      </c>
      <c r="K11" s="61">
        <f>SUM(K5:K10)</f>
        <v>152</v>
      </c>
      <c r="L11" s="1"/>
      <c r="M11" s="1"/>
      <c r="N11" s="1"/>
    </row>
    <row r="12" spans="1:14">
      <c r="A12" t="s">
        <v>4</v>
      </c>
      <c r="B12" t="s">
        <v>10</v>
      </c>
      <c r="C12" t="s">
        <v>2</v>
      </c>
      <c r="D12" t="s">
        <v>136</v>
      </c>
      <c r="E12" t="s">
        <v>12</v>
      </c>
      <c r="H12" s="1"/>
      <c r="I12" s="1"/>
      <c r="J12" s="1"/>
      <c r="K12" s="1"/>
      <c r="L12" s="1"/>
      <c r="M12" s="1"/>
      <c r="N12" s="1"/>
    </row>
    <row r="13" spans="1:14" hidden="1">
      <c r="A13" t="s">
        <v>4</v>
      </c>
      <c r="B13" t="s">
        <v>21</v>
      </c>
      <c r="C13" t="s">
        <v>1</v>
      </c>
      <c r="D13" t="s">
        <v>6</v>
      </c>
      <c r="E13" t="s">
        <v>11</v>
      </c>
      <c r="H13" s="1"/>
      <c r="I13" s="1"/>
      <c r="J13" s="1"/>
      <c r="K13" s="1"/>
      <c r="L13" s="1"/>
      <c r="M13" s="1"/>
      <c r="N13" s="1"/>
    </row>
    <row r="14" spans="1:14">
      <c r="A14" t="s">
        <v>4</v>
      </c>
      <c r="B14" t="s">
        <v>21</v>
      </c>
      <c r="C14" t="s">
        <v>2</v>
      </c>
      <c r="D14" t="s">
        <v>6</v>
      </c>
      <c r="E14" t="s">
        <v>11</v>
      </c>
      <c r="H14" s="141" t="s">
        <v>303</v>
      </c>
      <c r="I14" s="141"/>
      <c r="J14" s="141"/>
      <c r="K14" s="141"/>
      <c r="L14" s="141"/>
      <c r="M14" s="141"/>
      <c r="N14" s="1"/>
    </row>
    <row r="15" spans="1:14" hidden="1">
      <c r="A15" t="s">
        <v>4</v>
      </c>
      <c r="B15" t="s">
        <v>21</v>
      </c>
      <c r="C15" t="s">
        <v>1</v>
      </c>
      <c r="D15" t="s">
        <v>7</v>
      </c>
      <c r="E15" t="s">
        <v>11</v>
      </c>
      <c r="H15" s="60" t="s">
        <v>139</v>
      </c>
      <c r="I15" s="60" t="s">
        <v>11</v>
      </c>
      <c r="J15" s="60" t="s">
        <v>22</v>
      </c>
      <c r="K15" s="60" t="s">
        <v>12</v>
      </c>
      <c r="L15" s="60" t="s">
        <v>304</v>
      </c>
      <c r="M15" s="60" t="s">
        <v>135</v>
      </c>
      <c r="N15" s="1"/>
    </row>
    <row r="16" spans="1:14">
      <c r="A16" t="s">
        <v>4</v>
      </c>
      <c r="B16" t="s">
        <v>21</v>
      </c>
      <c r="C16" t="s">
        <v>2</v>
      </c>
      <c r="D16" t="s">
        <v>7</v>
      </c>
      <c r="E16" t="s">
        <v>11</v>
      </c>
      <c r="H16" s="1" t="s">
        <v>4</v>
      </c>
      <c r="I16" s="1">
        <f>COUNTIFS(DOE_Flat[Week],$H16,DOE_Flat[Status],"Pass")</f>
        <v>18</v>
      </c>
      <c r="J16" s="1">
        <f>COUNTIFS(DOE_Flat[Week],$H16,DOE_Flat[Status],"Fail")</f>
        <v>8</v>
      </c>
      <c r="K16" s="1">
        <f>COUNTIFS(DOE_Flat[Week],$H16,DOE_Flat[Status],"Damage")</f>
        <v>6</v>
      </c>
      <c r="L16" s="1">
        <f>SUM(I16:K16)</f>
        <v>32</v>
      </c>
      <c r="M16" s="62">
        <f>IFERROR(I16/L16,0)</f>
        <v>0.5625</v>
      </c>
      <c r="N16" s="1"/>
    </row>
    <row r="17" spans="1:14" hidden="1">
      <c r="A17" t="s">
        <v>4</v>
      </c>
      <c r="B17" t="s">
        <v>21</v>
      </c>
      <c r="C17" t="s">
        <v>1</v>
      </c>
      <c r="D17" t="s">
        <v>8</v>
      </c>
      <c r="E17" t="s">
        <v>11</v>
      </c>
      <c r="H17" s="1" t="s">
        <v>140</v>
      </c>
      <c r="I17" s="1">
        <f>COUNTIFS(DOE_Flat[Week],$H17,DOE_Flat[Status],"Pass")</f>
        <v>26</v>
      </c>
      <c r="J17" s="1">
        <f>COUNTIFS(DOE_Flat[Week],$H17,DOE_Flat[Status],"Fail")</f>
        <v>8</v>
      </c>
      <c r="K17" s="1">
        <f>COUNTIFS(DOE_Flat[Week],$H17,DOE_Flat[Status],"Damage")</f>
        <v>14</v>
      </c>
      <c r="L17" s="1">
        <f t="shared" ref="L17:L19" si="1">SUM(I17:K17)</f>
        <v>48</v>
      </c>
      <c r="M17" s="62">
        <f t="shared" ref="M17:M19" si="2">IFERROR(I17/L17,0)</f>
        <v>0.54166666666666663</v>
      </c>
      <c r="N17" s="1"/>
    </row>
    <row r="18" spans="1:14">
      <c r="A18" t="s">
        <v>4</v>
      </c>
      <c r="B18" t="s">
        <v>21</v>
      </c>
      <c r="C18" t="s">
        <v>2</v>
      </c>
      <c r="D18" t="s">
        <v>8</v>
      </c>
      <c r="E18" t="s">
        <v>11</v>
      </c>
      <c r="H18" s="1" t="s">
        <v>141</v>
      </c>
      <c r="I18" s="1">
        <f>COUNTIFS(DOE_Flat[Week],$H18,DOE_Flat[Status],"Pass")</f>
        <v>29</v>
      </c>
      <c r="J18" s="1">
        <f>COUNTIFS(DOE_Flat[Week],$H18,DOE_Flat[Status],"Fail")</f>
        <v>1</v>
      </c>
      <c r="K18" s="1">
        <f>COUNTIFS(DOE_Flat[Week],$H18,DOE_Flat[Status],"Damage")</f>
        <v>2</v>
      </c>
      <c r="L18" s="1">
        <f t="shared" si="1"/>
        <v>32</v>
      </c>
      <c r="M18" s="62">
        <f t="shared" si="2"/>
        <v>0.90625</v>
      </c>
      <c r="N18" s="1"/>
    </row>
    <row r="19" spans="1:14" hidden="1">
      <c r="A19" t="s">
        <v>4</v>
      </c>
      <c r="B19" t="s">
        <v>21</v>
      </c>
      <c r="C19" t="s">
        <v>1</v>
      </c>
      <c r="D19" t="s">
        <v>136</v>
      </c>
      <c r="E19" t="s">
        <v>22</v>
      </c>
      <c r="H19" s="1" t="s">
        <v>190</v>
      </c>
      <c r="I19" s="1">
        <f>COUNTIFS(DOE_Flat[Week],$H19,DOE_Flat[Status],"Pass")</f>
        <v>25</v>
      </c>
      <c r="J19" s="1">
        <f>COUNTIFS(DOE_Flat[Week],$H19,DOE_Flat[Status],"Fail")</f>
        <v>7</v>
      </c>
      <c r="K19" s="1">
        <f>COUNTIFS(DOE_Flat[Week],$H19,DOE_Flat[Status],"Damage")</f>
        <v>0</v>
      </c>
      <c r="L19" s="1">
        <f t="shared" si="1"/>
        <v>32</v>
      </c>
      <c r="M19" s="62">
        <f t="shared" si="2"/>
        <v>0.78125</v>
      </c>
      <c r="N19" s="1"/>
    </row>
    <row r="20" spans="1:14">
      <c r="A20" t="s">
        <v>4</v>
      </c>
      <c r="B20" t="s">
        <v>21</v>
      </c>
      <c r="C20" t="s">
        <v>2</v>
      </c>
      <c r="D20" t="s">
        <v>136</v>
      </c>
      <c r="E20" t="s">
        <v>22</v>
      </c>
      <c r="H20" s="61" t="s">
        <v>137</v>
      </c>
      <c r="I20" s="61">
        <f>SUM(I16:I19)</f>
        <v>98</v>
      </c>
      <c r="J20" s="61">
        <f>SUM(J16:J19)</f>
        <v>24</v>
      </c>
      <c r="K20" s="61">
        <f>SUM(K16:K19)</f>
        <v>22</v>
      </c>
      <c r="L20" s="61">
        <f>SUM(L16:L19)</f>
        <v>144</v>
      </c>
      <c r="M20" s="63">
        <f>IFERROR(I20/L20,0)</f>
        <v>0.68055555555555558</v>
      </c>
      <c r="N20" s="1"/>
    </row>
    <row r="21" spans="1:14" hidden="1">
      <c r="A21" t="s">
        <v>4</v>
      </c>
      <c r="B21" t="s">
        <v>27</v>
      </c>
      <c r="C21" t="s">
        <v>1</v>
      </c>
      <c r="D21" t="s">
        <v>6</v>
      </c>
      <c r="E21" t="s">
        <v>11</v>
      </c>
      <c r="H21" s="1"/>
      <c r="I21" s="1"/>
      <c r="J21" s="1"/>
      <c r="K21" s="1"/>
      <c r="L21" s="1"/>
      <c r="M21" s="1"/>
      <c r="N21" s="1"/>
    </row>
    <row r="22" spans="1:14">
      <c r="A22" t="s">
        <v>4</v>
      </c>
      <c r="B22" t="s">
        <v>27</v>
      </c>
      <c r="C22" t="s">
        <v>2</v>
      </c>
      <c r="D22" t="s">
        <v>6</v>
      </c>
      <c r="E22" t="s">
        <v>11</v>
      </c>
      <c r="H22" s="1"/>
      <c r="I22" s="1"/>
      <c r="J22" s="1"/>
      <c r="K22" s="1"/>
      <c r="L22" s="1"/>
      <c r="M22" s="1"/>
      <c r="N22" s="1"/>
    </row>
    <row r="23" spans="1:14" hidden="1">
      <c r="A23" t="s">
        <v>4</v>
      </c>
      <c r="B23" t="s">
        <v>27</v>
      </c>
      <c r="C23" t="s">
        <v>1</v>
      </c>
      <c r="D23" t="s">
        <v>7</v>
      </c>
      <c r="E23" t="s">
        <v>11</v>
      </c>
      <c r="H23" s="142" t="s">
        <v>305</v>
      </c>
      <c r="I23" s="142"/>
      <c r="J23" s="142"/>
      <c r="K23" s="142"/>
      <c r="L23" s="142"/>
      <c r="M23" s="142"/>
      <c r="N23" s="142"/>
    </row>
    <row r="24" spans="1:14">
      <c r="A24" t="s">
        <v>4</v>
      </c>
      <c r="B24" t="s">
        <v>27</v>
      </c>
      <c r="C24" t="s">
        <v>2</v>
      </c>
      <c r="D24" t="s">
        <v>7</v>
      </c>
      <c r="E24" t="s">
        <v>11</v>
      </c>
      <c r="H24" s="60" t="s">
        <v>300</v>
      </c>
      <c r="I24" s="60" t="s">
        <v>306</v>
      </c>
      <c r="J24" s="60" t="s">
        <v>307</v>
      </c>
      <c r="K24" s="60" t="s">
        <v>308</v>
      </c>
      <c r="L24" s="60" t="s">
        <v>309</v>
      </c>
      <c r="M24" s="60" t="s">
        <v>310</v>
      </c>
      <c r="N24" s="60" t="s">
        <v>311</v>
      </c>
    </row>
    <row r="25" spans="1:14" hidden="1">
      <c r="A25" t="s">
        <v>4</v>
      </c>
      <c r="B25" t="s">
        <v>27</v>
      </c>
      <c r="C25" t="s">
        <v>1</v>
      </c>
      <c r="D25" t="s">
        <v>8</v>
      </c>
      <c r="E25" t="s">
        <v>11</v>
      </c>
      <c r="H25" s="1" t="s">
        <v>6</v>
      </c>
      <c r="I25" s="1">
        <f>COUNTIFS(DOE_Flat[Product],"Merlin",DOE_Flat[Unit],$H25,DOE_Flat[Status],"Pass")+COUNTIFS(DOE_Flat[Product],"Merlin",DOE_Flat[Unit],$H25,DOE_Flat[Status],"Fail")+COUNTIFS(DOE_Flat[Product],"Merlin",DOE_Flat[Unit],$H25,DOE_Flat[Status],"Damage")</f>
        <v>19</v>
      </c>
      <c r="J25" s="1">
        <f>COUNTIFS(DOE_Flat[Product],"Merlin",DOE_Flat[Unit],$H25,DOE_Flat[Status],"Pass")</f>
        <v>15</v>
      </c>
      <c r="K25" s="62">
        <f>IFERROR(J25/I25,0)</f>
        <v>0.78947368421052633</v>
      </c>
      <c r="L25" s="1">
        <f>COUNTIFS(DOE_Flat[Product],"SM3.5",DOE_Flat[Unit],$H25,DOE_Flat[Status],"Pass")+COUNTIFS(DOE_Flat[Product],"SM3.5",DOE_Flat[Unit],$H25,DOE_Flat[Status],"Fail")+COUNTIFS(DOE_Flat[Product],"SM3.5",DOE_Flat[Unit],$H25,DOE_Flat[Status],"Damage")</f>
        <v>17</v>
      </c>
      <c r="M25" s="1">
        <f>COUNTIFS(DOE_Flat[Product],"SM3.5",DOE_Flat[Unit],$H25,DOE_Flat[Status],"Pass")</f>
        <v>13</v>
      </c>
      <c r="N25" s="62">
        <f>IFERROR(M25/L25,0)</f>
        <v>0.76470588235294112</v>
      </c>
    </row>
    <row r="26" spans="1:14">
      <c r="A26" t="s">
        <v>4</v>
      </c>
      <c r="B26" t="s">
        <v>27</v>
      </c>
      <c r="C26" t="s">
        <v>2</v>
      </c>
      <c r="D26" t="s">
        <v>8</v>
      </c>
      <c r="E26" t="s">
        <v>11</v>
      </c>
      <c r="F26" t="s">
        <v>24</v>
      </c>
      <c r="H26" s="1" t="s">
        <v>7</v>
      </c>
      <c r="I26" s="1">
        <f>COUNTIFS(DOE_Flat[Product],"Merlin",DOE_Flat[Unit],$H26,DOE_Flat[Status],"Pass")+COUNTIFS(DOE_Flat[Product],"Merlin",DOE_Flat[Unit],$H26,DOE_Flat[Status],"Fail")+COUNTIFS(DOE_Flat[Product],"Merlin",DOE_Flat[Unit],$H26,DOE_Flat[Status],"Damage")</f>
        <v>19</v>
      </c>
      <c r="J26" s="1">
        <f>COUNTIFS(DOE_Flat[Product],"Merlin",DOE_Flat[Unit],$H26,DOE_Flat[Status],"Pass")</f>
        <v>14</v>
      </c>
      <c r="K26" s="62">
        <f t="shared" ref="K26:K28" si="3">IFERROR(J26/I26,0)</f>
        <v>0.73684210526315785</v>
      </c>
      <c r="L26" s="1">
        <f>COUNTIFS(DOE_Flat[Product],"SM3.5",DOE_Flat[Unit],$H26,DOE_Flat[Status],"Pass")+COUNTIFS(DOE_Flat[Product],"SM3.5",DOE_Flat[Unit],$H26,DOE_Flat[Status],"Fail")+COUNTIFS(DOE_Flat[Product],"SM3.5",DOE_Flat[Unit],$H26,DOE_Flat[Status],"Damage")</f>
        <v>17</v>
      </c>
      <c r="M26" s="1">
        <f>COUNTIFS(DOE_Flat[Product],"SM3.5",DOE_Flat[Unit],$H26,DOE_Flat[Status],"Pass")</f>
        <v>12</v>
      </c>
      <c r="N26" s="62">
        <f t="shared" ref="N26:N28" si="4">IFERROR(M26/L26,0)</f>
        <v>0.70588235294117652</v>
      </c>
    </row>
    <row r="27" spans="1:14" hidden="1">
      <c r="A27" t="s">
        <v>4</v>
      </c>
      <c r="B27" t="s">
        <v>27</v>
      </c>
      <c r="C27" t="s">
        <v>1</v>
      </c>
      <c r="D27" t="s">
        <v>136</v>
      </c>
      <c r="E27" t="s">
        <v>12</v>
      </c>
      <c r="F27" t="s">
        <v>23</v>
      </c>
      <c r="H27" s="1" t="s">
        <v>8</v>
      </c>
      <c r="I27" s="1">
        <f>COUNTIFS(DOE_Flat[Product],"Merlin",DOE_Flat[Unit],$H27,DOE_Flat[Status],"Pass")+COUNTIFS(DOE_Flat[Product],"Merlin",DOE_Flat[Unit],$H27,DOE_Flat[Status],"Fail")+COUNTIFS(DOE_Flat[Product],"Merlin",DOE_Flat[Unit],$H27,DOE_Flat[Status],"Damage")</f>
        <v>19</v>
      </c>
      <c r="J27" s="1">
        <f>COUNTIFS(DOE_Flat[Product],"Merlin",DOE_Flat[Unit],$H27,DOE_Flat[Status],"Pass")</f>
        <v>12</v>
      </c>
      <c r="K27" s="62">
        <f t="shared" si="3"/>
        <v>0.63157894736842102</v>
      </c>
      <c r="L27" s="1">
        <f>COUNTIFS(DOE_Flat[Product],"SM3.5",DOE_Flat[Unit],$H27,DOE_Flat[Status],"Pass")+COUNTIFS(DOE_Flat[Product],"SM3.5",DOE_Flat[Unit],$H27,DOE_Flat[Status],"Fail")+COUNTIFS(DOE_Flat[Product],"SM3.5",DOE_Flat[Unit],$H27,DOE_Flat[Status],"Damage")</f>
        <v>17</v>
      </c>
      <c r="M27" s="1">
        <f>COUNTIFS(DOE_Flat[Product],"SM3.5",DOE_Flat[Unit],$H27,DOE_Flat[Status],"Pass")</f>
        <v>11</v>
      </c>
      <c r="N27" s="62">
        <f t="shared" si="4"/>
        <v>0.6470588235294118</v>
      </c>
    </row>
    <row r="28" spans="1:14">
      <c r="A28" t="s">
        <v>4</v>
      </c>
      <c r="B28" t="s">
        <v>27</v>
      </c>
      <c r="C28" t="s">
        <v>2</v>
      </c>
      <c r="D28" t="s">
        <v>136</v>
      </c>
      <c r="E28" t="s">
        <v>12</v>
      </c>
      <c r="F28" t="s">
        <v>23</v>
      </c>
      <c r="H28" s="1" t="s">
        <v>136</v>
      </c>
      <c r="I28" s="1">
        <f>COUNTIFS(DOE_Flat[Product],"Merlin",DOE_Flat[Unit],$H28,DOE_Flat[Status],"Pass")+COUNTIFS(DOE_Flat[Product],"Merlin",DOE_Flat[Unit],$H28,DOE_Flat[Status],"Fail")+COUNTIFS(DOE_Flat[Product],"Merlin",DOE_Flat[Unit],$H28,DOE_Flat[Status],"Damage")</f>
        <v>19</v>
      </c>
      <c r="J28" s="1">
        <f>COUNTIFS(DOE_Flat[Product],"Merlin",DOE_Flat[Unit],$H28,DOE_Flat[Status],"Pass")</f>
        <v>12</v>
      </c>
      <c r="K28" s="62">
        <f t="shared" si="3"/>
        <v>0.63157894736842102</v>
      </c>
      <c r="L28" s="1">
        <f>COUNTIFS(DOE_Flat[Product],"SM3.5",DOE_Flat[Unit],$H28,DOE_Flat[Status],"Pass")+COUNTIFS(DOE_Flat[Product],"SM3.5",DOE_Flat[Unit],$H28,DOE_Flat[Status],"Fail")+COUNTIFS(DOE_Flat[Product],"SM3.5",DOE_Flat[Unit],$H28,DOE_Flat[Status],"Damage")</f>
        <v>17</v>
      </c>
      <c r="M28" s="1">
        <f>COUNTIFS(DOE_Flat[Product],"SM3.5",DOE_Flat[Unit],$H28,DOE_Flat[Status],"Pass")</f>
        <v>9</v>
      </c>
      <c r="N28" s="62">
        <f t="shared" si="4"/>
        <v>0.52941176470588236</v>
      </c>
    </row>
    <row r="29" spans="1:14" hidden="1">
      <c r="A29" t="s">
        <v>4</v>
      </c>
      <c r="B29" t="s">
        <v>28</v>
      </c>
      <c r="C29" t="s">
        <v>1</v>
      </c>
      <c r="D29" t="s">
        <v>6</v>
      </c>
      <c r="E29" t="s">
        <v>12</v>
      </c>
      <c r="H29" s="1"/>
      <c r="I29" s="1"/>
      <c r="J29" s="1"/>
      <c r="K29" s="1"/>
      <c r="L29" s="1"/>
      <c r="M29" s="1"/>
      <c r="N29" s="1"/>
    </row>
    <row r="30" spans="1:14">
      <c r="A30" t="s">
        <v>4</v>
      </c>
      <c r="B30" t="s">
        <v>28</v>
      </c>
      <c r="C30" t="s">
        <v>2</v>
      </c>
      <c r="D30" t="s">
        <v>6</v>
      </c>
      <c r="E30" t="s">
        <v>12</v>
      </c>
      <c r="H30" s="1"/>
      <c r="I30" s="1"/>
      <c r="J30" s="1"/>
      <c r="K30" s="1"/>
      <c r="L30" s="1"/>
      <c r="M30" s="1"/>
      <c r="N30" s="1"/>
    </row>
    <row r="31" spans="1:14" hidden="1">
      <c r="A31" t="s">
        <v>4</v>
      </c>
      <c r="B31" t="s">
        <v>28</v>
      </c>
      <c r="C31" t="s">
        <v>1</v>
      </c>
      <c r="D31" t="s">
        <v>7</v>
      </c>
      <c r="E31" t="s">
        <v>22</v>
      </c>
      <c r="H31" s="60" t="s">
        <v>300</v>
      </c>
      <c r="I31" s="60" t="s">
        <v>308</v>
      </c>
      <c r="J31" s="60" t="s">
        <v>311</v>
      </c>
      <c r="K31" s="1"/>
      <c r="L31" s="1"/>
      <c r="M31" s="1"/>
      <c r="N31" s="1"/>
    </row>
    <row r="32" spans="1:14">
      <c r="A32" t="s">
        <v>4</v>
      </c>
      <c r="B32" t="s">
        <v>28</v>
      </c>
      <c r="C32" t="s">
        <v>2</v>
      </c>
      <c r="D32" t="s">
        <v>7</v>
      </c>
      <c r="E32" t="s">
        <v>22</v>
      </c>
      <c r="H32" s="1" t="s">
        <v>6</v>
      </c>
      <c r="I32" s="62">
        <f>_xlfn.XLOOKUP(H32,$H$25:$H$28,$K$25:$K$28)</f>
        <v>0.78947368421052633</v>
      </c>
      <c r="J32" s="62">
        <f>_xlfn.XLOOKUP(H32,$H$25:$H$28,$N$25:$N$28)</f>
        <v>0.76470588235294112</v>
      </c>
      <c r="K32" s="1"/>
      <c r="L32" s="1"/>
      <c r="M32" s="1"/>
      <c r="N32" s="1"/>
    </row>
    <row r="33" spans="1:14" hidden="1">
      <c r="A33" t="s">
        <v>4</v>
      </c>
      <c r="B33" t="s">
        <v>28</v>
      </c>
      <c r="C33" t="s">
        <v>1</v>
      </c>
      <c r="D33" t="s">
        <v>8</v>
      </c>
      <c r="E33" t="s">
        <v>22</v>
      </c>
      <c r="H33" s="1" t="s">
        <v>7</v>
      </c>
      <c r="I33" s="62">
        <f t="shared" ref="I33:I35" si="5">_xlfn.XLOOKUP(H33,$H$25:$H$28,$K$25:$K$28)</f>
        <v>0.73684210526315785</v>
      </c>
      <c r="J33" s="62">
        <f t="shared" ref="J33:J35" si="6">_xlfn.XLOOKUP(H33,$H$25:$H$28,$N$25:$N$28)</f>
        <v>0.70588235294117652</v>
      </c>
      <c r="K33" s="1"/>
      <c r="L33" s="1"/>
      <c r="M33" s="1"/>
      <c r="N33" s="1"/>
    </row>
    <row r="34" spans="1:14">
      <c r="A34" t="s">
        <v>4</v>
      </c>
      <c r="B34" t="s">
        <v>28</v>
      </c>
      <c r="C34" t="s">
        <v>2</v>
      </c>
      <c r="D34" t="s">
        <v>8</v>
      </c>
      <c r="E34" t="s">
        <v>22</v>
      </c>
      <c r="H34" s="1" t="s">
        <v>8</v>
      </c>
      <c r="I34" s="62">
        <f t="shared" si="5"/>
        <v>0.63157894736842102</v>
      </c>
      <c r="J34" s="62">
        <f t="shared" si="6"/>
        <v>0.6470588235294118</v>
      </c>
      <c r="K34" s="1"/>
      <c r="L34" s="1"/>
      <c r="M34" s="1"/>
      <c r="N34" s="1"/>
    </row>
    <row r="35" spans="1:14" hidden="1">
      <c r="A35" t="s">
        <v>4</v>
      </c>
      <c r="B35" t="s">
        <v>28</v>
      </c>
      <c r="C35" t="s">
        <v>1</v>
      </c>
      <c r="D35" t="s">
        <v>136</v>
      </c>
      <c r="E35" t="s">
        <v>22</v>
      </c>
      <c r="H35" s="1" t="s">
        <v>136</v>
      </c>
      <c r="I35" s="62">
        <f t="shared" si="5"/>
        <v>0.63157894736842102</v>
      </c>
      <c r="J35" s="62">
        <f t="shared" si="6"/>
        <v>0.52941176470588236</v>
      </c>
      <c r="K35" s="1"/>
      <c r="L35" s="1"/>
      <c r="M35" s="1"/>
      <c r="N35" s="1"/>
    </row>
    <row r="36" spans="1:14">
      <c r="A36" t="s">
        <v>4</v>
      </c>
      <c r="B36" t="s">
        <v>28</v>
      </c>
      <c r="C36" t="s">
        <v>2</v>
      </c>
      <c r="D36" t="s">
        <v>136</v>
      </c>
      <c r="E36" t="s">
        <v>22</v>
      </c>
    </row>
    <row r="37" spans="1:14" hidden="1">
      <c r="A37" t="s">
        <v>140</v>
      </c>
      <c r="B37" t="s">
        <v>30</v>
      </c>
      <c r="C37" t="s">
        <v>1</v>
      </c>
      <c r="D37" t="s">
        <v>6</v>
      </c>
      <c r="E37" t="s">
        <v>11</v>
      </c>
    </row>
    <row r="38" spans="1:14">
      <c r="A38" t="s">
        <v>140</v>
      </c>
      <c r="B38" t="s">
        <v>30</v>
      </c>
      <c r="C38" t="s">
        <v>2</v>
      </c>
      <c r="D38" t="s">
        <v>6</v>
      </c>
      <c r="E38" t="s">
        <v>11</v>
      </c>
    </row>
    <row r="39" spans="1:14" hidden="1">
      <c r="A39" t="s">
        <v>140</v>
      </c>
      <c r="B39" t="s">
        <v>30</v>
      </c>
      <c r="C39" t="s">
        <v>1</v>
      </c>
      <c r="D39" t="s">
        <v>7</v>
      </c>
      <c r="E39" t="s">
        <v>11</v>
      </c>
      <c r="F39" t="s">
        <v>23</v>
      </c>
    </row>
    <row r="40" spans="1:14">
      <c r="A40" t="s">
        <v>140</v>
      </c>
      <c r="B40" t="s">
        <v>30</v>
      </c>
      <c r="C40" t="s">
        <v>2</v>
      </c>
      <c r="D40" t="s">
        <v>7</v>
      </c>
      <c r="E40" t="s">
        <v>11</v>
      </c>
      <c r="F40" t="s">
        <v>23</v>
      </c>
    </row>
    <row r="41" spans="1:14" hidden="1">
      <c r="A41" t="s">
        <v>140</v>
      </c>
      <c r="B41" t="s">
        <v>30</v>
      </c>
      <c r="C41" t="s">
        <v>1</v>
      </c>
      <c r="D41" t="s">
        <v>8</v>
      </c>
      <c r="E41" t="s">
        <v>12</v>
      </c>
      <c r="F41" t="s">
        <v>23</v>
      </c>
    </row>
    <row r="42" spans="1:14">
      <c r="A42" t="s">
        <v>140</v>
      </c>
      <c r="B42" t="s">
        <v>30</v>
      </c>
      <c r="C42" t="s">
        <v>2</v>
      </c>
      <c r="D42" t="s">
        <v>8</v>
      </c>
      <c r="E42" t="s">
        <v>12</v>
      </c>
      <c r="F42" t="s">
        <v>23</v>
      </c>
    </row>
    <row r="43" spans="1:14" hidden="1">
      <c r="A43" t="s">
        <v>140</v>
      </c>
      <c r="B43" t="s">
        <v>30</v>
      </c>
      <c r="C43" t="s">
        <v>1</v>
      </c>
      <c r="D43" t="s">
        <v>136</v>
      </c>
      <c r="E43" t="s">
        <v>12</v>
      </c>
      <c r="F43" t="s">
        <v>23</v>
      </c>
    </row>
    <row r="44" spans="1:14">
      <c r="A44" t="s">
        <v>140</v>
      </c>
      <c r="B44" t="s">
        <v>30</v>
      </c>
      <c r="C44" t="s">
        <v>2</v>
      </c>
      <c r="D44" t="s">
        <v>136</v>
      </c>
      <c r="E44" t="s">
        <v>12</v>
      </c>
      <c r="F44" t="s">
        <v>23</v>
      </c>
    </row>
    <row r="45" spans="1:14" hidden="1">
      <c r="A45" t="s">
        <v>140</v>
      </c>
      <c r="B45" t="s">
        <v>31</v>
      </c>
      <c r="C45" t="s">
        <v>1</v>
      </c>
      <c r="D45" t="s">
        <v>6</v>
      </c>
      <c r="E45" t="s">
        <v>11</v>
      </c>
    </row>
    <row r="46" spans="1:14">
      <c r="A46" t="s">
        <v>140</v>
      </c>
      <c r="B46" t="s">
        <v>31</v>
      </c>
      <c r="C46" t="s">
        <v>2</v>
      </c>
      <c r="D46" t="s">
        <v>6</v>
      </c>
      <c r="E46" t="s">
        <v>11</v>
      </c>
    </row>
    <row r="47" spans="1:14" hidden="1">
      <c r="A47" t="s">
        <v>140</v>
      </c>
      <c r="B47" t="s">
        <v>31</v>
      </c>
      <c r="C47" t="s">
        <v>1</v>
      </c>
      <c r="D47" t="s">
        <v>7</v>
      </c>
      <c r="E47" t="s">
        <v>11</v>
      </c>
    </row>
    <row r="48" spans="1:14">
      <c r="A48" t="s">
        <v>140</v>
      </c>
      <c r="B48" t="s">
        <v>31</v>
      </c>
      <c r="C48" t="s">
        <v>2</v>
      </c>
      <c r="D48" t="s">
        <v>7</v>
      </c>
      <c r="E48" t="s">
        <v>11</v>
      </c>
    </row>
    <row r="49" spans="1:6" hidden="1">
      <c r="A49" t="s">
        <v>140</v>
      </c>
      <c r="B49" t="s">
        <v>31</v>
      </c>
      <c r="C49" t="s">
        <v>1</v>
      </c>
      <c r="D49" t="s">
        <v>8</v>
      </c>
      <c r="E49" t="s">
        <v>12</v>
      </c>
    </row>
    <row r="50" spans="1:6">
      <c r="A50" t="s">
        <v>140</v>
      </c>
      <c r="B50" t="s">
        <v>31</v>
      </c>
      <c r="C50" t="s">
        <v>2</v>
      </c>
      <c r="D50" t="s">
        <v>8</v>
      </c>
      <c r="E50" t="s">
        <v>12</v>
      </c>
    </row>
    <row r="51" spans="1:6" hidden="1">
      <c r="A51" t="s">
        <v>140</v>
      </c>
      <c r="B51" t="s">
        <v>31</v>
      </c>
      <c r="C51" t="s">
        <v>1</v>
      </c>
      <c r="D51" t="s">
        <v>136</v>
      </c>
      <c r="E51" t="s">
        <v>11</v>
      </c>
    </row>
    <row r="52" spans="1:6">
      <c r="A52" t="s">
        <v>140</v>
      </c>
      <c r="B52" t="s">
        <v>31</v>
      </c>
      <c r="C52" t="s">
        <v>2</v>
      </c>
      <c r="D52" t="s">
        <v>136</v>
      </c>
      <c r="E52" t="s">
        <v>11</v>
      </c>
    </row>
    <row r="53" spans="1:6" hidden="1">
      <c r="A53" t="s">
        <v>140</v>
      </c>
      <c r="B53" t="s">
        <v>32</v>
      </c>
      <c r="C53" t="s">
        <v>1</v>
      </c>
      <c r="D53" t="s">
        <v>6</v>
      </c>
      <c r="E53" t="s">
        <v>12</v>
      </c>
    </row>
    <row r="54" spans="1:6">
      <c r="A54" t="s">
        <v>140</v>
      </c>
      <c r="B54" t="s">
        <v>32</v>
      </c>
      <c r="C54" t="s">
        <v>2</v>
      </c>
      <c r="D54" t="s">
        <v>6</v>
      </c>
      <c r="E54" t="s">
        <v>12</v>
      </c>
    </row>
    <row r="55" spans="1:6" hidden="1">
      <c r="A55" t="s">
        <v>140</v>
      </c>
      <c r="B55" t="s">
        <v>32</v>
      </c>
      <c r="C55" t="s">
        <v>1</v>
      </c>
      <c r="D55" t="s">
        <v>7</v>
      </c>
      <c r="E55" t="s">
        <v>22</v>
      </c>
    </row>
    <row r="56" spans="1:6">
      <c r="A56" t="s">
        <v>140</v>
      </c>
      <c r="B56" t="s">
        <v>32</v>
      </c>
      <c r="C56" t="s">
        <v>2</v>
      </c>
      <c r="D56" t="s">
        <v>7</v>
      </c>
      <c r="E56" t="s">
        <v>22</v>
      </c>
    </row>
    <row r="57" spans="1:6" hidden="1">
      <c r="A57" t="s">
        <v>140</v>
      </c>
      <c r="B57" t="s">
        <v>32</v>
      </c>
      <c r="C57" t="s">
        <v>1</v>
      </c>
      <c r="D57" t="s">
        <v>8</v>
      </c>
      <c r="E57" t="s">
        <v>12</v>
      </c>
    </row>
    <row r="58" spans="1:6">
      <c r="A58" t="s">
        <v>140</v>
      </c>
      <c r="B58" t="s">
        <v>32</v>
      </c>
      <c r="C58" t="s">
        <v>2</v>
      </c>
      <c r="D58" t="s">
        <v>8</v>
      </c>
      <c r="E58" t="s">
        <v>12</v>
      </c>
    </row>
    <row r="59" spans="1:6" hidden="1">
      <c r="A59" t="s">
        <v>140</v>
      </c>
      <c r="B59" t="s">
        <v>32</v>
      </c>
      <c r="C59" t="s">
        <v>1</v>
      </c>
      <c r="D59" t="s">
        <v>136</v>
      </c>
      <c r="E59" t="s">
        <v>11</v>
      </c>
    </row>
    <row r="60" spans="1:6">
      <c r="A60" t="s">
        <v>140</v>
      </c>
      <c r="B60" t="s">
        <v>32</v>
      </c>
      <c r="C60" t="s">
        <v>2</v>
      </c>
      <c r="D60" t="s">
        <v>136</v>
      </c>
      <c r="E60" t="s">
        <v>11</v>
      </c>
    </row>
    <row r="61" spans="1:6" hidden="1">
      <c r="A61" t="s">
        <v>140</v>
      </c>
      <c r="B61" t="s">
        <v>34</v>
      </c>
      <c r="C61" t="s">
        <v>1</v>
      </c>
      <c r="D61" t="s">
        <v>6</v>
      </c>
      <c r="E61" t="s">
        <v>11</v>
      </c>
      <c r="F61" t="s">
        <v>33</v>
      </c>
    </row>
    <row r="62" spans="1:6">
      <c r="A62" t="s">
        <v>140</v>
      </c>
      <c r="B62" t="s">
        <v>34</v>
      </c>
      <c r="C62" t="s">
        <v>2</v>
      </c>
      <c r="D62" t="s">
        <v>6</v>
      </c>
      <c r="E62" t="s">
        <v>11</v>
      </c>
    </row>
    <row r="63" spans="1:6" hidden="1">
      <c r="A63" t="s">
        <v>140</v>
      </c>
      <c r="B63" t="s">
        <v>34</v>
      </c>
      <c r="C63" t="s">
        <v>1</v>
      </c>
      <c r="D63" t="s">
        <v>7</v>
      </c>
      <c r="E63" t="s">
        <v>12</v>
      </c>
      <c r="F63" t="s">
        <v>23</v>
      </c>
    </row>
    <row r="64" spans="1:6">
      <c r="A64" t="s">
        <v>140</v>
      </c>
      <c r="B64" t="s">
        <v>34</v>
      </c>
      <c r="C64" t="s">
        <v>2</v>
      </c>
      <c r="D64" t="s">
        <v>7</v>
      </c>
      <c r="E64" t="s">
        <v>12</v>
      </c>
      <c r="F64" t="s">
        <v>23</v>
      </c>
    </row>
    <row r="65" spans="1:6" hidden="1">
      <c r="A65" t="s">
        <v>140</v>
      </c>
      <c r="B65" t="s">
        <v>34</v>
      </c>
      <c r="C65" t="s">
        <v>1</v>
      </c>
      <c r="D65" t="s">
        <v>8</v>
      </c>
      <c r="E65" t="s">
        <v>11</v>
      </c>
      <c r="F65" t="s">
        <v>33</v>
      </c>
    </row>
    <row r="66" spans="1:6">
      <c r="A66" t="s">
        <v>140</v>
      </c>
      <c r="B66" t="s">
        <v>34</v>
      </c>
      <c r="C66" t="s">
        <v>2</v>
      </c>
      <c r="D66" t="s">
        <v>8</v>
      </c>
      <c r="E66" t="s">
        <v>11</v>
      </c>
    </row>
    <row r="67" spans="1:6" hidden="1">
      <c r="A67" t="s">
        <v>140</v>
      </c>
      <c r="B67" t="s">
        <v>34</v>
      </c>
      <c r="C67" t="s">
        <v>1</v>
      </c>
      <c r="D67" t="s">
        <v>136</v>
      </c>
      <c r="E67" t="s">
        <v>22</v>
      </c>
    </row>
    <row r="68" spans="1:6">
      <c r="A68" t="s">
        <v>140</v>
      </c>
      <c r="B68" t="s">
        <v>34</v>
      </c>
      <c r="C68" t="s">
        <v>2</v>
      </c>
      <c r="D68" t="s">
        <v>136</v>
      </c>
      <c r="E68" t="s">
        <v>22</v>
      </c>
    </row>
    <row r="69" spans="1:6" hidden="1">
      <c r="A69" t="s">
        <v>140</v>
      </c>
      <c r="B69" t="s">
        <v>35</v>
      </c>
      <c r="C69" t="s">
        <v>1</v>
      </c>
      <c r="D69" t="s">
        <v>6</v>
      </c>
      <c r="E69" t="s">
        <v>11</v>
      </c>
    </row>
    <row r="70" spans="1:6">
      <c r="A70" t="s">
        <v>140</v>
      </c>
      <c r="B70" t="s">
        <v>35</v>
      </c>
      <c r="C70" t="s">
        <v>2</v>
      </c>
      <c r="D70" t="s">
        <v>6</v>
      </c>
      <c r="E70" t="s">
        <v>11</v>
      </c>
    </row>
    <row r="71" spans="1:6" hidden="1">
      <c r="A71" t="s">
        <v>140</v>
      </c>
      <c r="B71" t="s">
        <v>35</v>
      </c>
      <c r="C71" t="s">
        <v>1</v>
      </c>
      <c r="D71" t="s">
        <v>7</v>
      </c>
      <c r="E71" t="s">
        <v>11</v>
      </c>
    </row>
    <row r="72" spans="1:6">
      <c r="A72" t="s">
        <v>140</v>
      </c>
      <c r="B72" t="s">
        <v>35</v>
      </c>
      <c r="C72" t="s">
        <v>2</v>
      </c>
      <c r="D72" t="s">
        <v>7</v>
      </c>
      <c r="E72" t="s">
        <v>11</v>
      </c>
    </row>
    <row r="73" spans="1:6" hidden="1">
      <c r="A73" t="s">
        <v>140</v>
      </c>
      <c r="B73" t="s">
        <v>35</v>
      </c>
      <c r="C73" t="s">
        <v>1</v>
      </c>
      <c r="D73" t="s">
        <v>8</v>
      </c>
      <c r="E73" t="s">
        <v>11</v>
      </c>
    </row>
    <row r="74" spans="1:6">
      <c r="A74" t="s">
        <v>140</v>
      </c>
      <c r="B74" t="s">
        <v>35</v>
      </c>
      <c r="C74" t="s">
        <v>2</v>
      </c>
      <c r="D74" t="s">
        <v>8</v>
      </c>
      <c r="E74" t="s">
        <v>11</v>
      </c>
    </row>
    <row r="75" spans="1:6" hidden="1">
      <c r="A75" t="s">
        <v>140</v>
      </c>
      <c r="B75" t="s">
        <v>35</v>
      </c>
      <c r="C75" t="s">
        <v>1</v>
      </c>
      <c r="D75" t="s">
        <v>136</v>
      </c>
      <c r="E75" t="s">
        <v>12</v>
      </c>
    </row>
    <row r="76" spans="1:6">
      <c r="A76" t="s">
        <v>140</v>
      </c>
      <c r="B76" t="s">
        <v>35</v>
      </c>
      <c r="C76" t="s">
        <v>2</v>
      </c>
      <c r="D76" t="s">
        <v>136</v>
      </c>
      <c r="E76" t="s">
        <v>12</v>
      </c>
    </row>
    <row r="77" spans="1:6" hidden="1">
      <c r="A77" t="s">
        <v>140</v>
      </c>
      <c r="B77" t="s">
        <v>36</v>
      </c>
      <c r="C77" t="s">
        <v>1</v>
      </c>
      <c r="D77" t="s">
        <v>6</v>
      </c>
      <c r="E77" t="s">
        <v>22</v>
      </c>
    </row>
    <row r="78" spans="1:6">
      <c r="A78" t="s">
        <v>140</v>
      </c>
      <c r="B78" t="s">
        <v>36</v>
      </c>
      <c r="C78" t="s">
        <v>2</v>
      </c>
      <c r="D78" t="s">
        <v>6</v>
      </c>
      <c r="E78" t="s">
        <v>22</v>
      </c>
    </row>
    <row r="79" spans="1:6" hidden="1">
      <c r="A79" t="s">
        <v>140</v>
      </c>
      <c r="B79" t="s">
        <v>36</v>
      </c>
      <c r="C79" t="s">
        <v>1</v>
      </c>
      <c r="D79" t="s">
        <v>7</v>
      </c>
      <c r="E79" t="s">
        <v>11</v>
      </c>
    </row>
    <row r="80" spans="1:6">
      <c r="A80" t="s">
        <v>140</v>
      </c>
      <c r="B80" t="s">
        <v>36</v>
      </c>
      <c r="C80" t="s">
        <v>2</v>
      </c>
      <c r="D80" t="s">
        <v>7</v>
      </c>
      <c r="E80" t="s">
        <v>11</v>
      </c>
    </row>
    <row r="81" spans="1:6" hidden="1">
      <c r="A81" t="s">
        <v>140</v>
      </c>
      <c r="B81" t="s">
        <v>36</v>
      </c>
      <c r="C81" t="s">
        <v>1</v>
      </c>
      <c r="D81" t="s">
        <v>8</v>
      </c>
      <c r="E81" t="s">
        <v>22</v>
      </c>
    </row>
    <row r="82" spans="1:6">
      <c r="A82" t="s">
        <v>140</v>
      </c>
      <c r="B82" t="s">
        <v>36</v>
      </c>
      <c r="C82" t="s">
        <v>2</v>
      </c>
      <c r="D82" t="s">
        <v>8</v>
      </c>
      <c r="E82" t="s">
        <v>22</v>
      </c>
    </row>
    <row r="83" spans="1:6" hidden="1">
      <c r="A83" t="s">
        <v>140</v>
      </c>
      <c r="B83" t="s">
        <v>36</v>
      </c>
      <c r="C83" t="s">
        <v>1</v>
      </c>
      <c r="D83" t="s">
        <v>136</v>
      </c>
      <c r="E83" t="s">
        <v>11</v>
      </c>
    </row>
    <row r="84" spans="1:6">
      <c r="A84" t="s">
        <v>140</v>
      </c>
      <c r="B84" t="s">
        <v>36</v>
      </c>
      <c r="C84" t="s">
        <v>2</v>
      </c>
      <c r="D84" t="s">
        <v>136</v>
      </c>
      <c r="E84" t="s">
        <v>11</v>
      </c>
    </row>
    <row r="85" spans="1:6" hidden="1">
      <c r="A85" t="s">
        <v>141</v>
      </c>
      <c r="B85" t="s">
        <v>38</v>
      </c>
      <c r="C85" t="s">
        <v>1</v>
      </c>
      <c r="D85" t="s">
        <v>6</v>
      </c>
      <c r="E85" t="s">
        <v>11</v>
      </c>
    </row>
    <row r="86" spans="1:6">
      <c r="A86" t="s">
        <v>141</v>
      </c>
      <c r="B86" t="s">
        <v>38</v>
      </c>
      <c r="C86" t="s">
        <v>2</v>
      </c>
      <c r="D86" t="s">
        <v>6</v>
      </c>
      <c r="E86" t="s">
        <v>11</v>
      </c>
    </row>
    <row r="87" spans="1:6" hidden="1">
      <c r="A87" t="s">
        <v>141</v>
      </c>
      <c r="B87" t="s">
        <v>38</v>
      </c>
      <c r="C87" t="s">
        <v>1</v>
      </c>
      <c r="D87" t="s">
        <v>7</v>
      </c>
      <c r="E87" t="s">
        <v>11</v>
      </c>
    </row>
    <row r="88" spans="1:6">
      <c r="A88" t="s">
        <v>141</v>
      </c>
      <c r="B88" t="s">
        <v>38</v>
      </c>
      <c r="C88" t="s">
        <v>2</v>
      </c>
      <c r="D88" t="s">
        <v>7</v>
      </c>
      <c r="E88" t="s">
        <v>11</v>
      </c>
    </row>
    <row r="89" spans="1:6" hidden="1">
      <c r="A89" t="s">
        <v>141</v>
      </c>
      <c r="B89" t="s">
        <v>38</v>
      </c>
      <c r="C89" t="s">
        <v>1</v>
      </c>
      <c r="D89" t="s">
        <v>8</v>
      </c>
      <c r="E89" t="s">
        <v>11</v>
      </c>
    </row>
    <row r="90" spans="1:6">
      <c r="A90" t="s">
        <v>141</v>
      </c>
      <c r="B90" t="s">
        <v>38</v>
      </c>
      <c r="C90" t="s">
        <v>2</v>
      </c>
      <c r="D90" t="s">
        <v>8</v>
      </c>
      <c r="E90" t="s">
        <v>11</v>
      </c>
      <c r="F90" t="s">
        <v>23</v>
      </c>
    </row>
    <row r="91" spans="1:6" hidden="1">
      <c r="A91" t="s">
        <v>141</v>
      </c>
      <c r="B91" t="s">
        <v>38</v>
      </c>
      <c r="C91" t="s">
        <v>1</v>
      </c>
      <c r="D91" t="s">
        <v>136</v>
      </c>
      <c r="E91" t="s">
        <v>11</v>
      </c>
    </row>
    <row r="92" spans="1:6">
      <c r="A92" t="s">
        <v>141</v>
      </c>
      <c r="B92" t="s">
        <v>38</v>
      </c>
      <c r="C92" t="s">
        <v>2</v>
      </c>
      <c r="D92" t="s">
        <v>136</v>
      </c>
      <c r="E92" t="s">
        <v>11</v>
      </c>
    </row>
    <row r="93" spans="1:6" hidden="1">
      <c r="A93" t="s">
        <v>141</v>
      </c>
      <c r="B93" t="s">
        <v>39</v>
      </c>
      <c r="C93" t="s">
        <v>1</v>
      </c>
      <c r="D93" t="s">
        <v>6</v>
      </c>
      <c r="E93" t="s">
        <v>11</v>
      </c>
    </row>
    <row r="94" spans="1:6">
      <c r="A94" t="s">
        <v>141</v>
      </c>
      <c r="B94" t="s">
        <v>39</v>
      </c>
      <c r="C94" t="s">
        <v>2</v>
      </c>
      <c r="D94" t="s">
        <v>6</v>
      </c>
      <c r="E94" t="s">
        <v>11</v>
      </c>
    </row>
    <row r="95" spans="1:6" hidden="1">
      <c r="A95" t="s">
        <v>141</v>
      </c>
      <c r="B95" t="s">
        <v>39</v>
      </c>
      <c r="C95" t="s">
        <v>1</v>
      </c>
      <c r="D95" t="s">
        <v>7</v>
      </c>
      <c r="E95" t="s">
        <v>11</v>
      </c>
    </row>
    <row r="96" spans="1:6">
      <c r="A96" t="s">
        <v>141</v>
      </c>
      <c r="B96" t="s">
        <v>39</v>
      </c>
      <c r="C96" t="s">
        <v>2</v>
      </c>
      <c r="D96" t="s">
        <v>7</v>
      </c>
      <c r="E96" t="s">
        <v>11</v>
      </c>
    </row>
    <row r="97" spans="1:5" hidden="1">
      <c r="A97" t="s">
        <v>141</v>
      </c>
      <c r="B97" t="s">
        <v>39</v>
      </c>
      <c r="C97" t="s">
        <v>1</v>
      </c>
      <c r="D97" t="s">
        <v>8</v>
      </c>
      <c r="E97" t="s">
        <v>11</v>
      </c>
    </row>
    <row r="98" spans="1:5">
      <c r="A98" t="s">
        <v>141</v>
      </c>
      <c r="B98" t="s">
        <v>39</v>
      </c>
      <c r="C98" t="s">
        <v>2</v>
      </c>
      <c r="D98" t="s">
        <v>8</v>
      </c>
      <c r="E98" t="s">
        <v>11</v>
      </c>
    </row>
    <row r="99" spans="1:5" hidden="1">
      <c r="A99" t="s">
        <v>141</v>
      </c>
      <c r="B99" t="s">
        <v>39</v>
      </c>
      <c r="C99" t="s">
        <v>1</v>
      </c>
      <c r="D99" t="s">
        <v>136</v>
      </c>
      <c r="E99" t="s">
        <v>11</v>
      </c>
    </row>
    <row r="100" spans="1:5">
      <c r="A100" t="s">
        <v>141</v>
      </c>
      <c r="B100" t="s">
        <v>39</v>
      </c>
      <c r="C100" t="s">
        <v>2</v>
      </c>
      <c r="D100" t="s">
        <v>136</v>
      </c>
      <c r="E100" t="s">
        <v>11</v>
      </c>
    </row>
    <row r="101" spans="1:5" hidden="1">
      <c r="A101" t="s">
        <v>141</v>
      </c>
      <c r="B101" t="s">
        <v>40</v>
      </c>
      <c r="C101" t="s">
        <v>1</v>
      </c>
      <c r="D101" t="s">
        <v>6</v>
      </c>
      <c r="E101" t="s">
        <v>11</v>
      </c>
    </row>
    <row r="102" spans="1:5">
      <c r="A102" t="s">
        <v>141</v>
      </c>
      <c r="B102" t="s">
        <v>40</v>
      </c>
      <c r="C102" t="s">
        <v>2</v>
      </c>
      <c r="D102" t="s">
        <v>6</v>
      </c>
      <c r="E102" t="s">
        <v>11</v>
      </c>
    </row>
    <row r="103" spans="1:5" hidden="1">
      <c r="A103" t="s">
        <v>141</v>
      </c>
      <c r="B103" t="s">
        <v>40</v>
      </c>
      <c r="C103" t="s">
        <v>1</v>
      </c>
      <c r="D103" t="s">
        <v>7</v>
      </c>
      <c r="E103" t="s">
        <v>11</v>
      </c>
    </row>
    <row r="104" spans="1:5">
      <c r="A104" t="s">
        <v>141</v>
      </c>
      <c r="B104" t="s">
        <v>40</v>
      </c>
      <c r="C104" t="s">
        <v>2</v>
      </c>
      <c r="D104" t="s">
        <v>7</v>
      </c>
      <c r="E104" t="s">
        <v>11</v>
      </c>
    </row>
    <row r="105" spans="1:5" hidden="1">
      <c r="A105" t="s">
        <v>141</v>
      </c>
      <c r="B105" t="s">
        <v>40</v>
      </c>
      <c r="C105" t="s">
        <v>1</v>
      </c>
      <c r="D105" t="s">
        <v>8</v>
      </c>
      <c r="E105" t="s">
        <v>11</v>
      </c>
    </row>
    <row r="106" spans="1:5">
      <c r="A106" t="s">
        <v>141</v>
      </c>
      <c r="B106" t="s">
        <v>40</v>
      </c>
      <c r="C106" t="s">
        <v>2</v>
      </c>
      <c r="D106" t="s">
        <v>8</v>
      </c>
      <c r="E106" t="s">
        <v>11</v>
      </c>
    </row>
    <row r="107" spans="1:5" hidden="1">
      <c r="A107" t="s">
        <v>141</v>
      </c>
      <c r="B107" t="s">
        <v>40</v>
      </c>
      <c r="C107" t="s">
        <v>1</v>
      </c>
      <c r="D107" t="s">
        <v>136</v>
      </c>
      <c r="E107" t="s">
        <v>11</v>
      </c>
    </row>
    <row r="108" spans="1:5">
      <c r="A108" t="s">
        <v>141</v>
      </c>
      <c r="B108" t="s">
        <v>40</v>
      </c>
      <c r="C108" t="s">
        <v>2</v>
      </c>
      <c r="D108" t="s">
        <v>136</v>
      </c>
      <c r="E108" t="s">
        <v>22</v>
      </c>
    </row>
    <row r="109" spans="1:5" hidden="1">
      <c r="A109" t="s">
        <v>141</v>
      </c>
      <c r="B109" t="s">
        <v>41</v>
      </c>
      <c r="C109" t="s">
        <v>1</v>
      </c>
      <c r="D109" t="s">
        <v>6</v>
      </c>
      <c r="E109" t="s">
        <v>11</v>
      </c>
    </row>
    <row r="110" spans="1:5">
      <c r="A110" t="s">
        <v>141</v>
      </c>
      <c r="B110" t="s">
        <v>41</v>
      </c>
      <c r="C110" t="s">
        <v>2</v>
      </c>
      <c r="D110" t="s">
        <v>6</v>
      </c>
      <c r="E110" t="s">
        <v>11</v>
      </c>
    </row>
    <row r="111" spans="1:5" hidden="1">
      <c r="A111" t="s">
        <v>141</v>
      </c>
      <c r="B111" t="s">
        <v>41</v>
      </c>
      <c r="C111" t="s">
        <v>1</v>
      </c>
      <c r="D111" t="s">
        <v>7</v>
      </c>
      <c r="E111" t="s">
        <v>12</v>
      </c>
    </row>
    <row r="112" spans="1:5">
      <c r="A112" t="s">
        <v>141</v>
      </c>
      <c r="B112" t="s">
        <v>41</v>
      </c>
      <c r="C112" t="s">
        <v>2</v>
      </c>
      <c r="D112" t="s">
        <v>7</v>
      </c>
      <c r="E112" t="s">
        <v>12</v>
      </c>
    </row>
    <row r="113" spans="1:6" hidden="1">
      <c r="A113" t="s">
        <v>141</v>
      </c>
      <c r="B113" t="s">
        <v>41</v>
      </c>
      <c r="C113" t="s">
        <v>1</v>
      </c>
      <c r="D113" t="s">
        <v>8</v>
      </c>
      <c r="E113" t="s">
        <v>11</v>
      </c>
    </row>
    <row r="114" spans="1:6">
      <c r="A114" t="s">
        <v>141</v>
      </c>
      <c r="B114" t="s">
        <v>41</v>
      </c>
      <c r="C114" t="s">
        <v>2</v>
      </c>
      <c r="D114" t="s">
        <v>8</v>
      </c>
      <c r="E114" t="s">
        <v>11</v>
      </c>
    </row>
    <row r="115" spans="1:6" hidden="1">
      <c r="A115" t="s">
        <v>141</v>
      </c>
      <c r="B115" t="s">
        <v>41</v>
      </c>
      <c r="C115" t="s">
        <v>1</v>
      </c>
      <c r="D115" t="s">
        <v>136</v>
      </c>
      <c r="E115" t="s">
        <v>11</v>
      </c>
    </row>
    <row r="116" spans="1:6">
      <c r="A116" t="s">
        <v>141</v>
      </c>
      <c r="B116" t="s">
        <v>41</v>
      </c>
      <c r="C116" t="s">
        <v>2</v>
      </c>
      <c r="D116" t="s">
        <v>136</v>
      </c>
      <c r="E116" t="s">
        <v>11</v>
      </c>
    </row>
    <row r="117" spans="1:6" hidden="1">
      <c r="A117" t="s">
        <v>190</v>
      </c>
      <c r="B117" t="s">
        <v>43</v>
      </c>
      <c r="C117" t="s">
        <v>1</v>
      </c>
      <c r="D117" t="s">
        <v>6</v>
      </c>
      <c r="E117" t="s">
        <v>22</v>
      </c>
    </row>
    <row r="118" spans="1:6">
      <c r="A118" t="s">
        <v>190</v>
      </c>
      <c r="B118" t="s">
        <v>43</v>
      </c>
      <c r="C118" t="s">
        <v>2</v>
      </c>
      <c r="D118" t="s">
        <v>6</v>
      </c>
      <c r="E118" t="s">
        <v>22</v>
      </c>
    </row>
    <row r="119" spans="1:6" hidden="1">
      <c r="A119" t="s">
        <v>190</v>
      </c>
      <c r="B119" t="s">
        <v>43</v>
      </c>
      <c r="C119" t="s">
        <v>1</v>
      </c>
      <c r="D119" t="s">
        <v>7</v>
      </c>
      <c r="E119" t="s">
        <v>22</v>
      </c>
    </row>
    <row r="120" spans="1:6">
      <c r="A120" t="s">
        <v>190</v>
      </c>
      <c r="B120" t="s">
        <v>43</v>
      </c>
      <c r="C120" t="s">
        <v>2</v>
      </c>
      <c r="D120" t="s">
        <v>7</v>
      </c>
      <c r="E120" t="s">
        <v>22</v>
      </c>
    </row>
    <row r="121" spans="1:6" hidden="1">
      <c r="A121" t="s">
        <v>190</v>
      </c>
      <c r="B121" t="s">
        <v>43</v>
      </c>
      <c r="C121" t="s">
        <v>1</v>
      </c>
      <c r="D121" t="s">
        <v>8</v>
      </c>
      <c r="E121" t="s">
        <v>11</v>
      </c>
    </row>
    <row r="122" spans="1:6">
      <c r="A122" t="s">
        <v>190</v>
      </c>
      <c r="B122" t="s">
        <v>43</v>
      </c>
      <c r="C122" t="s">
        <v>2</v>
      </c>
      <c r="D122" t="s">
        <v>8</v>
      </c>
      <c r="E122" t="s">
        <v>11</v>
      </c>
    </row>
    <row r="123" spans="1:6" hidden="1">
      <c r="A123" t="s">
        <v>190</v>
      </c>
      <c r="B123" t="s">
        <v>43</v>
      </c>
      <c r="C123" t="s">
        <v>1</v>
      </c>
      <c r="D123" t="s">
        <v>136</v>
      </c>
      <c r="E123" t="s">
        <v>11</v>
      </c>
    </row>
    <row r="124" spans="1:6">
      <c r="A124" t="s">
        <v>190</v>
      </c>
      <c r="B124" t="s">
        <v>43</v>
      </c>
      <c r="C124" t="s">
        <v>2</v>
      </c>
      <c r="D124" t="s">
        <v>136</v>
      </c>
      <c r="E124" t="s">
        <v>11</v>
      </c>
    </row>
    <row r="125" spans="1:6" hidden="1">
      <c r="A125" t="s">
        <v>190</v>
      </c>
      <c r="B125" t="s">
        <v>44</v>
      </c>
      <c r="C125" t="s">
        <v>1</v>
      </c>
      <c r="D125" t="s">
        <v>6</v>
      </c>
      <c r="E125" t="s">
        <v>11</v>
      </c>
      <c r="F125" t="s">
        <v>23</v>
      </c>
    </row>
    <row r="126" spans="1:6">
      <c r="A126" t="s">
        <v>190</v>
      </c>
      <c r="B126" t="s">
        <v>44</v>
      </c>
      <c r="C126" t="s">
        <v>2</v>
      </c>
      <c r="D126" t="s">
        <v>6</v>
      </c>
      <c r="E126" t="s">
        <v>11</v>
      </c>
    </row>
    <row r="127" spans="1:6" hidden="1">
      <c r="A127" t="s">
        <v>190</v>
      </c>
      <c r="B127" t="s">
        <v>44</v>
      </c>
      <c r="C127" t="s">
        <v>1</v>
      </c>
      <c r="D127" t="s">
        <v>7</v>
      </c>
      <c r="E127" t="s">
        <v>11</v>
      </c>
      <c r="F127" t="s">
        <v>23</v>
      </c>
    </row>
    <row r="128" spans="1:6">
      <c r="A128" t="s">
        <v>190</v>
      </c>
      <c r="B128" t="s">
        <v>44</v>
      </c>
      <c r="C128" t="s">
        <v>2</v>
      </c>
      <c r="D128" t="s">
        <v>7</v>
      </c>
      <c r="E128" t="s">
        <v>11</v>
      </c>
    </row>
    <row r="129" spans="1:6" hidden="1">
      <c r="A129" t="s">
        <v>190</v>
      </c>
      <c r="B129" t="s">
        <v>44</v>
      </c>
      <c r="C129" t="s">
        <v>1</v>
      </c>
      <c r="D129" t="s">
        <v>8</v>
      </c>
      <c r="E129" t="s">
        <v>22</v>
      </c>
    </row>
    <row r="130" spans="1:6">
      <c r="A130" t="s">
        <v>190</v>
      </c>
      <c r="B130" t="s">
        <v>44</v>
      </c>
      <c r="C130" t="s">
        <v>2</v>
      </c>
      <c r="D130" t="s">
        <v>8</v>
      </c>
      <c r="E130" t="s">
        <v>22</v>
      </c>
    </row>
    <row r="131" spans="1:6" hidden="1">
      <c r="A131" t="s">
        <v>190</v>
      </c>
      <c r="B131" t="s">
        <v>44</v>
      </c>
      <c r="C131" t="s">
        <v>1</v>
      </c>
      <c r="D131" t="s">
        <v>136</v>
      </c>
      <c r="E131" t="s">
        <v>11</v>
      </c>
    </row>
    <row r="132" spans="1:6">
      <c r="A132" t="s">
        <v>190</v>
      </c>
      <c r="B132" t="s">
        <v>44</v>
      </c>
      <c r="C132" t="s">
        <v>2</v>
      </c>
      <c r="D132" t="s">
        <v>136</v>
      </c>
      <c r="E132" t="s">
        <v>11</v>
      </c>
    </row>
    <row r="133" spans="1:6" hidden="1">
      <c r="A133" t="s">
        <v>190</v>
      </c>
      <c r="B133" t="s">
        <v>46</v>
      </c>
      <c r="C133" t="s">
        <v>1</v>
      </c>
      <c r="D133" t="s">
        <v>6</v>
      </c>
      <c r="E133" t="s">
        <v>11</v>
      </c>
    </row>
    <row r="134" spans="1:6">
      <c r="A134" t="s">
        <v>190</v>
      </c>
      <c r="B134" t="s">
        <v>46</v>
      </c>
      <c r="C134" t="s">
        <v>2</v>
      </c>
      <c r="D134" t="s">
        <v>6</v>
      </c>
      <c r="E134" t="s">
        <v>302</v>
      </c>
    </row>
    <row r="135" spans="1:6" hidden="1">
      <c r="A135" t="s">
        <v>190</v>
      </c>
      <c r="B135" t="s">
        <v>46</v>
      </c>
      <c r="C135" t="s">
        <v>1</v>
      </c>
      <c r="D135" t="s">
        <v>7</v>
      </c>
      <c r="E135" t="s">
        <v>11</v>
      </c>
    </row>
    <row r="136" spans="1:6">
      <c r="A136" t="s">
        <v>190</v>
      </c>
      <c r="B136" t="s">
        <v>46</v>
      </c>
      <c r="C136" t="s">
        <v>2</v>
      </c>
      <c r="D136" t="s">
        <v>7</v>
      </c>
      <c r="E136" t="s">
        <v>11</v>
      </c>
    </row>
    <row r="137" spans="1:6" hidden="1">
      <c r="A137" t="s">
        <v>190</v>
      </c>
      <c r="B137" t="s">
        <v>46</v>
      </c>
      <c r="C137" t="s">
        <v>1</v>
      </c>
      <c r="D137" t="s">
        <v>8</v>
      </c>
      <c r="E137" t="s">
        <v>11</v>
      </c>
    </row>
    <row r="138" spans="1:6">
      <c r="A138" t="s">
        <v>190</v>
      </c>
      <c r="B138" t="s">
        <v>46</v>
      </c>
      <c r="C138" t="s">
        <v>2</v>
      </c>
      <c r="D138" t="s">
        <v>8</v>
      </c>
      <c r="E138" t="s">
        <v>302</v>
      </c>
    </row>
    <row r="139" spans="1:6" hidden="1">
      <c r="A139" t="s">
        <v>190</v>
      </c>
      <c r="B139" t="s">
        <v>46</v>
      </c>
      <c r="C139" t="s">
        <v>1</v>
      </c>
      <c r="D139" t="s">
        <v>136</v>
      </c>
      <c r="E139" t="s">
        <v>11</v>
      </c>
    </row>
    <row r="140" spans="1:6">
      <c r="A140" t="s">
        <v>190</v>
      </c>
      <c r="B140" t="s">
        <v>46</v>
      </c>
      <c r="C140" t="s">
        <v>2</v>
      </c>
      <c r="D140" t="s">
        <v>136</v>
      </c>
      <c r="E140" t="s">
        <v>11</v>
      </c>
    </row>
    <row r="141" spans="1:6" hidden="1">
      <c r="A141" t="s">
        <v>190</v>
      </c>
      <c r="B141" t="s">
        <v>47</v>
      </c>
      <c r="C141" t="s">
        <v>1</v>
      </c>
      <c r="D141" t="s">
        <v>6</v>
      </c>
      <c r="E141" t="s">
        <v>11</v>
      </c>
    </row>
    <row r="142" spans="1:6">
      <c r="A142" t="s">
        <v>190</v>
      </c>
      <c r="B142" t="s">
        <v>47</v>
      </c>
      <c r="C142" t="s">
        <v>2</v>
      </c>
      <c r="D142" t="s">
        <v>6</v>
      </c>
      <c r="E142" t="s">
        <v>11</v>
      </c>
      <c r="F142" t="s">
        <v>312</v>
      </c>
    </row>
    <row r="143" spans="1:6" hidden="1">
      <c r="A143" t="s">
        <v>190</v>
      </c>
      <c r="B143" t="s">
        <v>47</v>
      </c>
      <c r="C143" t="s">
        <v>1</v>
      </c>
      <c r="D143" t="s">
        <v>7</v>
      </c>
      <c r="E143" t="s">
        <v>11</v>
      </c>
    </row>
    <row r="144" spans="1:6">
      <c r="A144" t="s">
        <v>190</v>
      </c>
      <c r="B144" t="s">
        <v>47</v>
      </c>
      <c r="C144" t="s">
        <v>2</v>
      </c>
      <c r="D144" t="s">
        <v>7</v>
      </c>
      <c r="E144" t="s">
        <v>302</v>
      </c>
    </row>
    <row r="145" spans="1:6" hidden="1">
      <c r="A145" t="s">
        <v>190</v>
      </c>
      <c r="B145" t="s">
        <v>47</v>
      </c>
      <c r="C145" t="s">
        <v>1</v>
      </c>
      <c r="D145" t="s">
        <v>8</v>
      </c>
      <c r="E145" t="s">
        <v>11</v>
      </c>
    </row>
    <row r="146" spans="1:6">
      <c r="A146" t="s">
        <v>190</v>
      </c>
      <c r="B146" t="s">
        <v>47</v>
      </c>
      <c r="C146" t="s">
        <v>2</v>
      </c>
      <c r="D146" t="s">
        <v>8</v>
      </c>
      <c r="E146" t="s">
        <v>11</v>
      </c>
      <c r="F146" t="s">
        <v>312</v>
      </c>
    </row>
    <row r="147" spans="1:6" hidden="1">
      <c r="A147" t="s">
        <v>190</v>
      </c>
      <c r="B147" t="s">
        <v>47</v>
      </c>
      <c r="C147" t="s">
        <v>1</v>
      </c>
      <c r="D147" t="s">
        <v>136</v>
      </c>
      <c r="E147" t="s">
        <v>11</v>
      </c>
    </row>
    <row r="148" spans="1:6">
      <c r="A148" t="s">
        <v>190</v>
      </c>
      <c r="B148" t="s">
        <v>47</v>
      </c>
      <c r="C148" t="s">
        <v>2</v>
      </c>
      <c r="D148" t="s">
        <v>136</v>
      </c>
      <c r="E148" t="s">
        <v>302</v>
      </c>
    </row>
    <row r="149" spans="1:6" hidden="1">
      <c r="A149" t="s">
        <v>190</v>
      </c>
      <c r="B149" t="s">
        <v>49</v>
      </c>
      <c r="C149" t="s">
        <v>1</v>
      </c>
      <c r="D149" t="s">
        <v>6</v>
      </c>
      <c r="E149" t="s">
        <v>11</v>
      </c>
    </row>
    <row r="150" spans="1:6">
      <c r="A150" t="s">
        <v>190</v>
      </c>
      <c r="B150" t="s">
        <v>49</v>
      </c>
      <c r="C150" t="s">
        <v>2</v>
      </c>
      <c r="D150" t="s">
        <v>6</v>
      </c>
      <c r="E150" t="s">
        <v>302</v>
      </c>
    </row>
    <row r="151" spans="1:6" hidden="1">
      <c r="A151" t="s">
        <v>190</v>
      </c>
      <c r="B151" t="s">
        <v>49</v>
      </c>
      <c r="C151" t="s">
        <v>1</v>
      </c>
      <c r="D151" t="s">
        <v>7</v>
      </c>
      <c r="E151" t="s">
        <v>11</v>
      </c>
    </row>
    <row r="152" spans="1:6">
      <c r="A152" t="s">
        <v>190</v>
      </c>
      <c r="B152" t="s">
        <v>49</v>
      </c>
      <c r="C152" t="s">
        <v>2</v>
      </c>
      <c r="D152" t="s">
        <v>7</v>
      </c>
      <c r="E152" t="s">
        <v>302</v>
      </c>
    </row>
    <row r="153" spans="1:6" hidden="1">
      <c r="A153" t="s">
        <v>190</v>
      </c>
      <c r="B153" t="s">
        <v>49</v>
      </c>
      <c r="C153" t="s">
        <v>1</v>
      </c>
      <c r="D153" t="s">
        <v>8</v>
      </c>
      <c r="E153" t="s">
        <v>22</v>
      </c>
    </row>
    <row r="154" spans="1:6">
      <c r="A154" t="s">
        <v>190</v>
      </c>
      <c r="B154" t="s">
        <v>49</v>
      </c>
      <c r="C154" t="s">
        <v>2</v>
      </c>
      <c r="D154" t="s">
        <v>8</v>
      </c>
      <c r="E154" t="s">
        <v>302</v>
      </c>
    </row>
    <row r="155" spans="1:6" hidden="1">
      <c r="A155" t="s">
        <v>190</v>
      </c>
      <c r="B155" t="s">
        <v>49</v>
      </c>
      <c r="C155" t="s">
        <v>1</v>
      </c>
      <c r="D155" t="s">
        <v>136</v>
      </c>
      <c r="E155" t="s">
        <v>11</v>
      </c>
    </row>
    <row r="156" spans="1:6">
      <c r="A156" t="s">
        <v>190</v>
      </c>
      <c r="B156" t="s">
        <v>49</v>
      </c>
      <c r="C156" t="s">
        <v>2</v>
      </c>
      <c r="D156" t="s">
        <v>136</v>
      </c>
      <c r="E156" t="s">
        <v>302</v>
      </c>
    </row>
  </sheetData>
  <mergeCells count="5">
    <mergeCell ref="A1:F1"/>
    <mergeCell ref="A2:F2"/>
    <mergeCell ref="H3:K3"/>
    <mergeCell ref="H14:M14"/>
    <mergeCell ref="H23:N23"/>
  </mergeCells>
  <conditionalFormatting sqref="E5:E156">
    <cfRule type="expression" dxfId="13" priority="8">
      <formula>UPPER(TRIM(E5))="PASS"</formula>
    </cfRule>
    <cfRule type="expression" dxfId="12" priority="9">
      <formula>UPPER(TRIM(E5))="FAIL"</formula>
    </cfRule>
    <cfRule type="expression" dxfId="11" priority="10">
      <formula>UPPER(TRIM(E5))="DAMAGE"</formula>
    </cfRule>
    <cfRule type="expression" dxfId="10" priority="11">
      <formula>OR(UPPER(TRIM(E5))="NA", UPPER(TRIM(E5))="N/A")</formula>
    </cfRule>
    <cfRule type="expression" dxfId="9" priority="12">
      <formula>OR(UPPER(TRIM(E5))="PENDING", UPPER(TRIM(E5))="WAITING TEST", UPPER(TRIM(E5))="WAITING", UPPER(TRIM(E5))="IN PROGRESS")</formula>
    </cfRule>
    <cfRule type="expression" dxfId="8" priority="13">
      <formula>UPPER(TRIM(E5))="ERROR"</formula>
    </cfRule>
  </conditionalFormatting>
  <conditionalFormatting sqref="F5:F156">
    <cfRule type="expression" dxfId="7" priority="14">
      <formula>ISNUMBER(SEARCH("VDDQC",F5))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0823-F2E9-45E9-8814-AEB4DEAC6F2A}">
  <dimension ref="A1:O180"/>
  <sheetViews>
    <sheetView topLeftCell="A163" workbookViewId="0">
      <selection activeCell="F199" sqref="F199"/>
    </sheetView>
  </sheetViews>
  <sheetFormatPr defaultRowHeight="15"/>
  <cols>
    <col min="1" max="1" width="7.140625" bestFit="1" customWidth="1"/>
    <col min="2" max="2" width="23.28515625" customWidth="1"/>
    <col min="3" max="3" width="20.85546875" style="25" customWidth="1"/>
    <col min="4" max="5" width="21.42578125" style="1" bestFit="1" customWidth="1"/>
    <col min="6" max="6" width="33.28515625" style="1" bestFit="1" customWidth="1"/>
    <col min="7" max="7" width="19.42578125" style="1" bestFit="1" customWidth="1"/>
    <col min="8" max="8" width="19.7109375" style="49" bestFit="1" customWidth="1"/>
  </cols>
  <sheetData>
    <row r="1" spans="1:8">
      <c r="B1" s="125" t="s">
        <v>0</v>
      </c>
      <c r="C1" s="146"/>
      <c r="D1" s="125" t="s">
        <v>2</v>
      </c>
      <c r="E1" s="147"/>
      <c r="F1" s="147"/>
      <c r="G1" s="146"/>
      <c r="H1" s="27" t="s">
        <v>3</v>
      </c>
    </row>
    <row r="2" spans="1:8">
      <c r="A2" s="44" t="s">
        <v>4</v>
      </c>
      <c r="B2" s="6"/>
      <c r="C2" s="39" t="s">
        <v>5</v>
      </c>
      <c r="D2" s="5" t="s">
        <v>6</v>
      </c>
      <c r="E2" s="5" t="s">
        <v>7</v>
      </c>
      <c r="F2" s="5" t="s">
        <v>8</v>
      </c>
      <c r="G2" s="17" t="str">
        <f>_xlfn.TEXTBEFORE(D2, " ", 1) &amp; " 4"</f>
        <v>Unit 4</v>
      </c>
      <c r="H2" s="50">
        <f>COUNTIF(D8:G8,"Pass")*25%</f>
        <v>0.75</v>
      </c>
    </row>
    <row r="3" spans="1:8">
      <c r="A3" s="44"/>
      <c r="B3" s="5" t="s">
        <v>9</v>
      </c>
      <c r="C3" s="127" t="s">
        <v>10</v>
      </c>
      <c r="D3" s="11" t="s">
        <v>11</v>
      </c>
      <c r="E3" s="11" t="s">
        <v>11</v>
      </c>
      <c r="F3" s="11" t="s">
        <v>11</v>
      </c>
      <c r="G3" s="12" t="s">
        <v>13</v>
      </c>
      <c r="H3" s="45"/>
    </row>
    <row r="4" spans="1:8">
      <c r="A4" s="44"/>
      <c r="B4" s="5" t="s">
        <v>14</v>
      </c>
      <c r="C4" s="148"/>
      <c r="D4" s="11" t="s">
        <v>11</v>
      </c>
      <c r="E4" s="11" t="s">
        <v>11</v>
      </c>
      <c r="F4" s="11" t="s">
        <v>11</v>
      </c>
      <c r="G4" s="12" t="s">
        <v>12</v>
      </c>
      <c r="H4" s="45"/>
    </row>
    <row r="5" spans="1:8">
      <c r="A5" s="44"/>
      <c r="B5" s="5" t="s">
        <v>15</v>
      </c>
      <c r="C5" s="148"/>
      <c r="D5" s="11" t="s">
        <v>11</v>
      </c>
      <c r="E5" s="11" t="s">
        <v>11</v>
      </c>
      <c r="F5" s="11" t="s">
        <v>11</v>
      </c>
      <c r="G5" s="12" t="s">
        <v>12</v>
      </c>
      <c r="H5" s="45"/>
    </row>
    <row r="6" spans="1:8">
      <c r="A6" s="44"/>
      <c r="B6" s="9" t="s">
        <v>16</v>
      </c>
      <c r="C6" s="148"/>
      <c r="D6" s="11" t="s">
        <v>11</v>
      </c>
      <c r="E6" s="11" t="s">
        <v>11</v>
      </c>
      <c r="F6" s="11" t="s">
        <v>11</v>
      </c>
      <c r="G6" s="12" t="s">
        <v>12</v>
      </c>
      <c r="H6" s="45"/>
    </row>
    <row r="7" spans="1:8">
      <c r="A7" s="44"/>
      <c r="B7" s="14" t="s">
        <v>17</v>
      </c>
      <c r="C7" s="148"/>
      <c r="D7" s="15" t="s">
        <v>11</v>
      </c>
      <c r="E7" s="15" t="s">
        <v>11</v>
      </c>
      <c r="F7" s="15" t="s">
        <v>11</v>
      </c>
      <c r="G7" s="26" t="s">
        <v>12</v>
      </c>
      <c r="H7" s="45"/>
    </row>
    <row r="8" spans="1:8">
      <c r="A8" s="44"/>
      <c r="B8" s="9" t="s">
        <v>18</v>
      </c>
      <c r="C8" s="148"/>
      <c r="D8" s="22" t="s">
        <v>11</v>
      </c>
      <c r="E8" s="22" t="s">
        <v>11</v>
      </c>
      <c r="F8" s="22" t="s">
        <v>11</v>
      </c>
      <c r="G8" s="22" t="s">
        <v>12</v>
      </c>
      <c r="H8" s="45"/>
    </row>
    <row r="9" spans="1:8">
      <c r="A9" s="44"/>
      <c r="B9" s="18" t="s">
        <v>19</v>
      </c>
      <c r="C9" s="151"/>
      <c r="D9" s="11"/>
      <c r="E9" s="11"/>
      <c r="F9" s="11"/>
      <c r="G9" s="12"/>
      <c r="H9" s="46"/>
    </row>
    <row r="10" spans="1:8">
      <c r="A10" s="7"/>
      <c r="B10" s="7"/>
      <c r="C10" s="28"/>
      <c r="D10" s="8"/>
      <c r="E10" s="8"/>
      <c r="F10" s="8"/>
      <c r="G10" s="8"/>
      <c r="H10" s="47"/>
    </row>
    <row r="11" spans="1:8">
      <c r="A11" s="44" t="s">
        <v>20</v>
      </c>
      <c r="B11" s="6"/>
      <c r="C11" s="40" t="s">
        <v>5</v>
      </c>
      <c r="D11" s="5" t="s">
        <v>6</v>
      </c>
      <c r="E11" s="5" t="s">
        <v>7</v>
      </c>
      <c r="F11" s="5" t="s">
        <v>8</v>
      </c>
      <c r="G11" s="17" t="str">
        <f>_xlfn.TEXTBEFORE(D11, " ", 1) &amp; " 4"</f>
        <v>Unit 4</v>
      </c>
      <c r="H11" s="50">
        <f>COUNTIF(D17:G17,"Pass")*25%</f>
        <v>0.75</v>
      </c>
    </row>
    <row r="12" spans="1:8">
      <c r="A12" s="44"/>
      <c r="B12" s="5" t="s">
        <v>9</v>
      </c>
      <c r="C12" s="126" t="s">
        <v>21</v>
      </c>
      <c r="D12" s="11" t="s">
        <v>11</v>
      </c>
      <c r="E12" s="11" t="s">
        <v>11</v>
      </c>
      <c r="F12" s="11" t="s">
        <v>11</v>
      </c>
      <c r="G12" s="12" t="s">
        <v>22</v>
      </c>
      <c r="H12" s="45"/>
    </row>
    <row r="13" spans="1:8">
      <c r="A13" s="44"/>
      <c r="B13" s="5" t="s">
        <v>14</v>
      </c>
      <c r="C13" s="148"/>
      <c r="D13" s="11" t="s">
        <v>11</v>
      </c>
      <c r="E13" s="11" t="s">
        <v>11</v>
      </c>
      <c r="F13" s="11" t="s">
        <v>11</v>
      </c>
      <c r="G13" s="12" t="s">
        <v>22</v>
      </c>
      <c r="H13" s="45"/>
    </row>
    <row r="14" spans="1:8">
      <c r="A14" s="44"/>
      <c r="B14" s="5" t="s">
        <v>15</v>
      </c>
      <c r="C14" s="148"/>
      <c r="D14" s="11" t="s">
        <v>11</v>
      </c>
      <c r="E14" s="11" t="s">
        <v>11</v>
      </c>
      <c r="F14" s="11" t="s">
        <v>11</v>
      </c>
      <c r="G14" s="12" t="s">
        <v>22</v>
      </c>
      <c r="H14" s="45"/>
    </row>
    <row r="15" spans="1:8">
      <c r="A15" s="44"/>
      <c r="B15" s="9" t="s">
        <v>16</v>
      </c>
      <c r="C15" s="148"/>
      <c r="D15" s="11" t="s">
        <v>11</v>
      </c>
      <c r="E15" s="11" t="s">
        <v>11</v>
      </c>
      <c r="F15" s="11" t="s">
        <v>11</v>
      </c>
      <c r="G15" s="12" t="s">
        <v>22</v>
      </c>
      <c r="H15" s="45"/>
    </row>
    <row r="16" spans="1:8">
      <c r="A16" s="44"/>
      <c r="B16" s="9" t="s">
        <v>17</v>
      </c>
      <c r="C16" s="148"/>
      <c r="D16" s="11" t="s">
        <v>11</v>
      </c>
      <c r="E16" s="11" t="s">
        <v>11</v>
      </c>
      <c r="F16" s="11" t="s">
        <v>22</v>
      </c>
      <c r="G16" s="26" t="s">
        <v>22</v>
      </c>
      <c r="H16" s="45"/>
    </row>
    <row r="17" spans="1:8">
      <c r="A17" s="44"/>
      <c r="B17" s="9" t="s">
        <v>18</v>
      </c>
      <c r="C17" s="148"/>
      <c r="D17" s="22" t="s">
        <v>11</v>
      </c>
      <c r="E17" s="22" t="s">
        <v>11</v>
      </c>
      <c r="F17" s="22" t="s">
        <v>11</v>
      </c>
      <c r="G17" s="22" t="s">
        <v>22</v>
      </c>
      <c r="H17" s="45"/>
    </row>
    <row r="18" spans="1:8">
      <c r="A18" s="44"/>
      <c r="B18" s="18" t="s">
        <v>19</v>
      </c>
      <c r="C18" s="148"/>
      <c r="D18" s="11"/>
      <c r="E18" s="11"/>
      <c r="F18" s="15" t="s">
        <v>24</v>
      </c>
      <c r="G18" s="23" t="s">
        <v>23</v>
      </c>
      <c r="H18" s="46"/>
    </row>
    <row r="19" spans="1:8">
      <c r="A19" s="7"/>
      <c r="B19" s="7"/>
      <c r="C19" s="28"/>
      <c r="D19" s="8"/>
      <c r="E19" s="8"/>
      <c r="F19" s="8"/>
      <c r="G19" s="8"/>
      <c r="H19" s="47"/>
    </row>
    <row r="20" spans="1:8">
      <c r="A20" s="44" t="s">
        <v>20</v>
      </c>
      <c r="B20" s="6"/>
      <c r="C20" s="39" t="s">
        <v>5</v>
      </c>
      <c r="D20" s="5" t="s">
        <v>6</v>
      </c>
      <c r="E20" s="5" t="s">
        <v>7</v>
      </c>
      <c r="F20" s="5" t="s">
        <v>25</v>
      </c>
      <c r="G20" s="5" t="s">
        <v>26</v>
      </c>
      <c r="H20" s="50">
        <f>COUNTIF(D26:G26,"Pass")*25%</f>
        <v>0.75</v>
      </c>
    </row>
    <row r="21" spans="1:8">
      <c r="A21" s="44"/>
      <c r="B21" s="5" t="s">
        <v>9</v>
      </c>
      <c r="C21" s="126" t="s">
        <v>27</v>
      </c>
      <c r="D21" s="11" t="s">
        <v>11</v>
      </c>
      <c r="E21" s="11" t="s">
        <v>11</v>
      </c>
      <c r="F21" s="11" t="s">
        <v>11</v>
      </c>
      <c r="G21" s="22" t="s">
        <v>12</v>
      </c>
      <c r="H21" s="45"/>
    </row>
    <row r="22" spans="1:8">
      <c r="A22" s="44"/>
      <c r="B22" s="5" t="s">
        <v>14</v>
      </c>
      <c r="C22" s="148"/>
      <c r="D22" s="11" t="s">
        <v>11</v>
      </c>
      <c r="E22" s="11" t="s">
        <v>11</v>
      </c>
      <c r="F22" s="11" t="s">
        <v>11</v>
      </c>
      <c r="G22" s="22" t="s">
        <v>12</v>
      </c>
      <c r="H22" s="45"/>
    </row>
    <row r="23" spans="1:8">
      <c r="A23" s="44"/>
      <c r="B23" s="5" t="s">
        <v>15</v>
      </c>
      <c r="C23" s="148"/>
      <c r="D23" s="11" t="s">
        <v>11</v>
      </c>
      <c r="E23" s="11" t="s">
        <v>11</v>
      </c>
      <c r="F23" s="11" t="s">
        <v>11</v>
      </c>
      <c r="G23" s="22" t="s">
        <v>12</v>
      </c>
      <c r="H23" s="45"/>
    </row>
    <row r="24" spans="1:8">
      <c r="A24" s="44"/>
      <c r="B24" s="9" t="s">
        <v>16</v>
      </c>
      <c r="C24" s="148"/>
      <c r="D24" s="11" t="s">
        <v>11</v>
      </c>
      <c r="E24" s="11" t="s">
        <v>11</v>
      </c>
      <c r="F24" s="11" t="s">
        <v>11</v>
      </c>
      <c r="G24" s="22" t="s">
        <v>12</v>
      </c>
      <c r="H24" s="45"/>
    </row>
    <row r="25" spans="1:8">
      <c r="A25" s="44"/>
      <c r="B25" s="9" t="s">
        <v>17</v>
      </c>
      <c r="C25" s="148"/>
      <c r="D25" s="15" t="s">
        <v>11</v>
      </c>
      <c r="E25" s="15" t="s">
        <v>11</v>
      </c>
      <c r="F25" s="15" t="s">
        <v>11</v>
      </c>
      <c r="G25" s="22" t="s">
        <v>12</v>
      </c>
      <c r="H25" s="45"/>
    </row>
    <row r="26" spans="1:8">
      <c r="A26" s="44"/>
      <c r="B26" s="9" t="s">
        <v>18</v>
      </c>
      <c r="C26" s="148"/>
      <c r="D26" s="22" t="s">
        <v>11</v>
      </c>
      <c r="E26" s="22" t="s">
        <v>11</v>
      </c>
      <c r="F26" s="22" t="s">
        <v>11</v>
      </c>
      <c r="G26" s="22" t="s">
        <v>12</v>
      </c>
      <c r="H26" s="45"/>
    </row>
    <row r="27" spans="1:8">
      <c r="A27" s="44"/>
      <c r="B27" s="18" t="s">
        <v>19</v>
      </c>
      <c r="C27" s="148"/>
      <c r="D27" s="11"/>
      <c r="H27" s="46"/>
    </row>
    <row r="28" spans="1:8">
      <c r="A28" s="7"/>
      <c r="B28" s="7"/>
      <c r="C28" s="28"/>
      <c r="D28" s="8"/>
      <c r="E28" s="8"/>
      <c r="F28" s="8"/>
      <c r="G28" s="8"/>
      <c r="H28" s="47"/>
    </row>
    <row r="29" spans="1:8">
      <c r="A29" s="44" t="s">
        <v>4</v>
      </c>
      <c r="B29" s="16"/>
      <c r="C29" s="39" t="s">
        <v>5</v>
      </c>
      <c r="D29" s="5" t="s">
        <v>6</v>
      </c>
      <c r="E29" s="5" t="s">
        <v>7</v>
      </c>
      <c r="F29" s="5" t="s">
        <v>8</v>
      </c>
      <c r="G29" s="5" t="str">
        <f>_xlfn.TEXTBEFORE(D29, " ", 1) &amp; " 4"</f>
        <v>Unit 4</v>
      </c>
      <c r="H29" s="50">
        <f>COUNTIF(D35:G35,"Pass")*25%</f>
        <v>0</v>
      </c>
    </row>
    <row r="30" spans="1:8">
      <c r="A30" s="44"/>
      <c r="B30" s="17" t="s">
        <v>9</v>
      </c>
      <c r="C30" s="129" t="s">
        <v>28</v>
      </c>
      <c r="D30" s="22" t="s">
        <v>12</v>
      </c>
      <c r="E30" s="11" t="s">
        <v>22</v>
      </c>
      <c r="F30" s="11" t="s">
        <v>22</v>
      </c>
      <c r="G30" s="11" t="s">
        <v>22</v>
      </c>
      <c r="H30" s="45"/>
    </row>
    <row r="31" spans="1:8">
      <c r="A31" s="44"/>
      <c r="B31" s="17" t="s">
        <v>14</v>
      </c>
      <c r="C31" s="152"/>
      <c r="D31" s="22" t="s">
        <v>12</v>
      </c>
      <c r="E31" s="11" t="s">
        <v>22</v>
      </c>
      <c r="F31" s="11" t="s">
        <v>22</v>
      </c>
      <c r="G31" s="11" t="s">
        <v>22</v>
      </c>
      <c r="H31" s="45"/>
    </row>
    <row r="32" spans="1:8">
      <c r="A32" s="44"/>
      <c r="B32" s="17" t="s">
        <v>15</v>
      </c>
      <c r="C32" s="152"/>
      <c r="D32" s="22" t="s">
        <v>12</v>
      </c>
      <c r="E32" s="11" t="s">
        <v>22</v>
      </c>
      <c r="F32" s="11" t="s">
        <v>22</v>
      </c>
      <c r="G32" s="11" t="s">
        <v>22</v>
      </c>
      <c r="H32" s="45"/>
    </row>
    <row r="33" spans="1:14">
      <c r="A33" s="44"/>
      <c r="B33" s="18" t="s">
        <v>16</v>
      </c>
      <c r="C33" s="152"/>
      <c r="D33" s="22" t="s">
        <v>12</v>
      </c>
      <c r="E33" s="11" t="s">
        <v>22</v>
      </c>
      <c r="F33" s="11" t="s">
        <v>22</v>
      </c>
      <c r="G33" s="11" t="s">
        <v>22</v>
      </c>
      <c r="H33" s="45"/>
    </row>
    <row r="34" spans="1:14">
      <c r="A34" s="44"/>
      <c r="B34" s="19" t="s">
        <v>17</v>
      </c>
      <c r="C34" s="152"/>
      <c r="D34" s="22" t="s">
        <v>12</v>
      </c>
      <c r="E34" s="11" t="s">
        <v>22</v>
      </c>
      <c r="F34" s="11" t="s">
        <v>22</v>
      </c>
      <c r="G34" s="11" t="s">
        <v>22</v>
      </c>
      <c r="H34" s="45"/>
    </row>
    <row r="35" spans="1:14">
      <c r="A35" s="44"/>
      <c r="B35" s="9" t="s">
        <v>18</v>
      </c>
      <c r="C35" s="152"/>
      <c r="D35" s="22" t="s">
        <v>12</v>
      </c>
      <c r="E35" s="22" t="s">
        <v>22</v>
      </c>
      <c r="F35" s="22" t="s">
        <v>22</v>
      </c>
      <c r="G35" s="22" t="s">
        <v>22</v>
      </c>
      <c r="H35" s="45"/>
      <c r="N35" s="33"/>
    </row>
    <row r="36" spans="1:14">
      <c r="A36" s="44"/>
      <c r="B36" s="18" t="s">
        <v>19</v>
      </c>
      <c r="C36" s="153"/>
      <c r="D36" s="2"/>
      <c r="E36" s="11" t="s">
        <v>23</v>
      </c>
      <c r="F36" s="11" t="s">
        <v>23</v>
      </c>
      <c r="G36" s="42" t="s">
        <v>23</v>
      </c>
      <c r="H36" s="46"/>
    </row>
    <row r="37" spans="1:14">
      <c r="A37" s="7"/>
      <c r="B37" s="7"/>
      <c r="C37" s="28"/>
      <c r="D37" s="8"/>
      <c r="E37" s="8"/>
      <c r="F37" s="8"/>
      <c r="G37" s="8"/>
      <c r="H37" s="47"/>
    </row>
    <row r="38" spans="1:14">
      <c r="A38" s="44" t="s">
        <v>29</v>
      </c>
      <c r="B38" s="16"/>
      <c r="C38" s="39" t="s">
        <v>5</v>
      </c>
      <c r="D38" s="5" t="s">
        <v>6</v>
      </c>
      <c r="E38" s="5" t="s">
        <v>7</v>
      </c>
      <c r="F38" s="5" t="s">
        <v>8</v>
      </c>
      <c r="G38" s="5" t="str">
        <f>_xlfn.TEXTBEFORE(D38, " ", 1) &amp; " 4"</f>
        <v>Unit 4</v>
      </c>
      <c r="H38" s="50">
        <f>COUNTIF(D44:G44,"Pass")*25%</f>
        <v>0.5</v>
      </c>
    </row>
    <row r="39" spans="1:14">
      <c r="A39" s="44"/>
      <c r="B39" s="17" t="s">
        <v>9</v>
      </c>
      <c r="C39" s="131" t="s">
        <v>30</v>
      </c>
      <c r="D39" s="22" t="s">
        <v>11</v>
      </c>
      <c r="E39" s="22" t="s">
        <v>11</v>
      </c>
      <c r="F39" s="22" t="s">
        <v>12</v>
      </c>
      <c r="G39" s="22" t="s">
        <v>12</v>
      </c>
      <c r="H39" s="45"/>
    </row>
    <row r="40" spans="1:14">
      <c r="A40" s="44"/>
      <c r="B40" s="17" t="s">
        <v>14</v>
      </c>
      <c r="C40" s="152"/>
      <c r="D40" s="22" t="s">
        <v>11</v>
      </c>
      <c r="E40" s="22" t="s">
        <v>11</v>
      </c>
      <c r="F40" s="22" t="s">
        <v>12</v>
      </c>
      <c r="G40" s="22" t="s">
        <v>12</v>
      </c>
      <c r="H40" s="45"/>
    </row>
    <row r="41" spans="1:14">
      <c r="A41" s="44"/>
      <c r="B41" s="17" t="s">
        <v>15</v>
      </c>
      <c r="C41" s="152"/>
      <c r="D41" s="22" t="s">
        <v>11</v>
      </c>
      <c r="E41" s="22" t="s">
        <v>11</v>
      </c>
      <c r="F41" s="22" t="s">
        <v>12</v>
      </c>
      <c r="G41" s="22" t="s">
        <v>12</v>
      </c>
      <c r="H41" s="45"/>
    </row>
    <row r="42" spans="1:14">
      <c r="A42" s="44"/>
      <c r="B42" s="18" t="s">
        <v>16</v>
      </c>
      <c r="C42" s="152"/>
      <c r="D42" s="22" t="s">
        <v>11</v>
      </c>
      <c r="E42" s="22" t="s">
        <v>11</v>
      </c>
      <c r="F42" s="22" t="s">
        <v>12</v>
      </c>
      <c r="G42" s="22" t="s">
        <v>12</v>
      </c>
      <c r="H42" s="45"/>
    </row>
    <row r="43" spans="1:14">
      <c r="A43" s="44"/>
      <c r="B43" s="19" t="s">
        <v>17</v>
      </c>
      <c r="C43" s="152"/>
      <c r="D43" s="22" t="s">
        <v>11</v>
      </c>
      <c r="E43" s="22" t="s">
        <v>11</v>
      </c>
      <c r="F43" s="22" t="s">
        <v>12</v>
      </c>
      <c r="G43" s="22" t="s">
        <v>12</v>
      </c>
      <c r="H43" s="45"/>
    </row>
    <row r="44" spans="1:14">
      <c r="A44" s="44"/>
      <c r="B44" s="9" t="s">
        <v>18</v>
      </c>
      <c r="C44" s="152"/>
      <c r="D44" s="22" t="s">
        <v>11</v>
      </c>
      <c r="E44" s="22" t="s">
        <v>11</v>
      </c>
      <c r="F44" s="21" t="s">
        <v>12</v>
      </c>
      <c r="G44" s="21" t="s">
        <v>12</v>
      </c>
      <c r="H44" s="45"/>
    </row>
    <row r="45" spans="1:14">
      <c r="A45" s="44"/>
      <c r="B45" s="18" t="s">
        <v>19</v>
      </c>
      <c r="C45" s="153"/>
      <c r="D45" s="22"/>
      <c r="E45" s="22"/>
      <c r="F45" s="29"/>
      <c r="G45" s="29"/>
      <c r="H45" s="46"/>
    </row>
    <row r="46" spans="1:14">
      <c r="A46" s="7"/>
      <c r="B46" s="7"/>
      <c r="C46" s="28"/>
      <c r="D46" s="8"/>
      <c r="E46" s="8"/>
      <c r="F46" s="8"/>
      <c r="G46" s="8"/>
      <c r="H46" s="47"/>
    </row>
    <row r="47" spans="1:14">
      <c r="A47" s="44" t="s">
        <v>29</v>
      </c>
      <c r="B47" s="16"/>
      <c r="C47" s="41" t="s">
        <v>5</v>
      </c>
      <c r="D47" s="5" t="s">
        <v>6</v>
      </c>
      <c r="E47" s="5" t="s">
        <v>7</v>
      </c>
      <c r="F47" s="5" t="s">
        <v>8</v>
      </c>
      <c r="G47" s="5" t="str">
        <f>_xlfn.TEXTBEFORE(D47, " ", 1) &amp; " 4"</f>
        <v>Unit 4</v>
      </c>
      <c r="H47" s="50">
        <f>COUNTIF(D53:G53,"Pass")*25%</f>
        <v>0.75</v>
      </c>
    </row>
    <row r="48" spans="1:14">
      <c r="A48" s="44"/>
      <c r="B48" s="17" t="s">
        <v>9</v>
      </c>
      <c r="C48" s="130" t="s">
        <v>31</v>
      </c>
      <c r="D48" s="22" t="s">
        <v>11</v>
      </c>
      <c r="E48" s="22" t="s">
        <v>11</v>
      </c>
      <c r="F48" s="22" t="s">
        <v>12</v>
      </c>
      <c r="G48" s="22" t="s">
        <v>11</v>
      </c>
      <c r="H48" s="45"/>
    </row>
    <row r="49" spans="1:15">
      <c r="A49" s="44"/>
      <c r="B49" s="17" t="s">
        <v>14</v>
      </c>
      <c r="C49" s="148"/>
      <c r="D49" s="22" t="s">
        <v>11</v>
      </c>
      <c r="E49" s="22" t="s">
        <v>11</v>
      </c>
      <c r="F49" s="22" t="s">
        <v>12</v>
      </c>
      <c r="G49" s="22" t="s">
        <v>11</v>
      </c>
      <c r="H49" s="45"/>
    </row>
    <row r="50" spans="1:15">
      <c r="A50" s="44"/>
      <c r="B50" s="17" t="s">
        <v>15</v>
      </c>
      <c r="C50" s="148"/>
      <c r="D50" s="22" t="s">
        <v>11</v>
      </c>
      <c r="E50" s="22" t="s">
        <v>11</v>
      </c>
      <c r="F50" s="22" t="s">
        <v>12</v>
      </c>
      <c r="G50" s="22" t="s">
        <v>11</v>
      </c>
      <c r="H50" s="45"/>
    </row>
    <row r="51" spans="1:15">
      <c r="A51" s="44"/>
      <c r="B51" s="18" t="s">
        <v>16</v>
      </c>
      <c r="C51" s="148"/>
      <c r="D51" s="22" t="s">
        <v>11</v>
      </c>
      <c r="E51" s="22" t="s">
        <v>11</v>
      </c>
      <c r="F51" s="22" t="s">
        <v>12</v>
      </c>
      <c r="G51" s="22" t="s">
        <v>11</v>
      </c>
      <c r="H51" s="45"/>
    </row>
    <row r="52" spans="1:15">
      <c r="A52" s="44"/>
      <c r="B52" s="19" t="s">
        <v>17</v>
      </c>
      <c r="C52" s="148"/>
      <c r="D52" s="22" t="s">
        <v>11</v>
      </c>
      <c r="E52" s="22" t="s">
        <v>11</v>
      </c>
      <c r="F52" s="22" t="s">
        <v>12</v>
      </c>
      <c r="G52" s="22" t="s">
        <v>11</v>
      </c>
      <c r="H52" s="45"/>
    </row>
    <row r="53" spans="1:15">
      <c r="A53" s="44"/>
      <c r="B53" s="18" t="s">
        <v>18</v>
      </c>
      <c r="C53" s="148"/>
      <c r="D53" s="22" t="s">
        <v>11</v>
      </c>
      <c r="E53" s="22" t="s">
        <v>11</v>
      </c>
      <c r="F53" s="21" t="s">
        <v>12</v>
      </c>
      <c r="G53" s="22" t="s">
        <v>11</v>
      </c>
      <c r="H53" s="45"/>
    </row>
    <row r="54" spans="1:15">
      <c r="A54" s="44"/>
      <c r="B54" s="18" t="s">
        <v>19</v>
      </c>
      <c r="C54" s="151"/>
      <c r="D54" s="29"/>
      <c r="E54" s="11"/>
      <c r="F54" s="11"/>
      <c r="G54" s="11"/>
      <c r="H54" s="46"/>
    </row>
    <row r="55" spans="1:15">
      <c r="A55" s="7"/>
      <c r="B55" s="7"/>
      <c r="C55" s="28"/>
      <c r="D55" s="8"/>
      <c r="E55" s="8"/>
      <c r="F55" s="8"/>
      <c r="G55" s="8"/>
      <c r="H55" s="47"/>
    </row>
    <row r="56" spans="1:15">
      <c r="A56" s="44" t="s">
        <v>29</v>
      </c>
      <c r="B56" s="16"/>
      <c r="C56" s="39" t="s">
        <v>5</v>
      </c>
      <c r="D56" s="5" t="s">
        <v>6</v>
      </c>
      <c r="E56" s="5" t="s">
        <v>7</v>
      </c>
      <c r="F56" s="5" t="s">
        <v>8</v>
      </c>
      <c r="G56" s="5" t="str">
        <f>_xlfn.TEXTBEFORE(D56, " ", 1) &amp; " 4"</f>
        <v>Unit 4</v>
      </c>
      <c r="H56" s="50">
        <f>COUNTIF(D62:G62,"Pass")*25%</f>
        <v>0.25</v>
      </c>
    </row>
    <row r="57" spans="1:15">
      <c r="A57" s="44"/>
      <c r="B57" s="17" t="s">
        <v>9</v>
      </c>
      <c r="C57" s="131" t="s">
        <v>32</v>
      </c>
      <c r="D57" s="22" t="s">
        <v>12</v>
      </c>
      <c r="E57" s="22" t="s">
        <v>22</v>
      </c>
      <c r="F57" s="22" t="s">
        <v>12</v>
      </c>
      <c r="G57" s="22" t="s">
        <v>11</v>
      </c>
      <c r="H57" s="45"/>
    </row>
    <row r="58" spans="1:15">
      <c r="A58" s="44"/>
      <c r="B58" s="17" t="s">
        <v>14</v>
      </c>
      <c r="C58" s="152"/>
      <c r="D58" s="22" t="s">
        <v>12</v>
      </c>
      <c r="E58" s="22" t="s">
        <v>22</v>
      </c>
      <c r="F58" s="22" t="s">
        <v>12</v>
      </c>
      <c r="G58" s="22" t="s">
        <v>11</v>
      </c>
      <c r="H58" s="45"/>
    </row>
    <row r="59" spans="1:15">
      <c r="A59" s="44"/>
      <c r="B59" s="17" t="s">
        <v>15</v>
      </c>
      <c r="C59" s="152"/>
      <c r="D59" s="22" t="s">
        <v>12</v>
      </c>
      <c r="E59" s="22" t="s">
        <v>22</v>
      </c>
      <c r="F59" s="22" t="s">
        <v>12</v>
      </c>
      <c r="G59" s="22" t="s">
        <v>11</v>
      </c>
      <c r="H59" s="45"/>
    </row>
    <row r="60" spans="1:15">
      <c r="A60" s="44"/>
      <c r="B60" s="18" t="s">
        <v>16</v>
      </c>
      <c r="C60" s="152"/>
      <c r="D60" s="22" t="s">
        <v>12</v>
      </c>
      <c r="E60" s="22" t="s">
        <v>22</v>
      </c>
      <c r="F60" s="22" t="s">
        <v>12</v>
      </c>
      <c r="G60" s="22" t="s">
        <v>11</v>
      </c>
      <c r="H60" s="45"/>
    </row>
    <row r="61" spans="1:15">
      <c r="A61" s="44"/>
      <c r="B61" s="19" t="s">
        <v>17</v>
      </c>
      <c r="C61" s="152"/>
      <c r="D61" s="22" t="s">
        <v>12</v>
      </c>
      <c r="E61" s="22" t="s">
        <v>22</v>
      </c>
      <c r="F61" s="22" t="s">
        <v>12</v>
      </c>
      <c r="G61" s="22" t="s">
        <v>11</v>
      </c>
      <c r="H61" s="45"/>
    </row>
    <row r="62" spans="1:15">
      <c r="A62" s="44"/>
      <c r="B62" s="9" t="s">
        <v>18</v>
      </c>
      <c r="C62" s="152"/>
      <c r="D62" s="21" t="s">
        <v>12</v>
      </c>
      <c r="E62" s="22" t="s">
        <v>22</v>
      </c>
      <c r="F62" s="21" t="s">
        <v>12</v>
      </c>
      <c r="G62" s="22" t="s">
        <v>11</v>
      </c>
      <c r="H62" s="45"/>
      <c r="O62" s="33"/>
    </row>
    <row r="63" spans="1:15">
      <c r="A63" s="44"/>
      <c r="B63" s="19" t="s">
        <v>19</v>
      </c>
      <c r="C63" s="153"/>
      <c r="E63" s="11" t="s">
        <v>23</v>
      </c>
      <c r="H63" s="46"/>
    </row>
    <row r="64" spans="1:15">
      <c r="A64" s="7"/>
      <c r="B64" s="30"/>
      <c r="C64" s="32"/>
      <c r="D64" s="31"/>
      <c r="E64" s="31"/>
      <c r="F64" s="31"/>
      <c r="G64" s="31"/>
      <c r="H64" s="48"/>
    </row>
    <row r="65" spans="1:8">
      <c r="A65" s="44" t="s">
        <v>29</v>
      </c>
      <c r="B65" s="5"/>
      <c r="C65" s="39" t="s">
        <v>5</v>
      </c>
      <c r="D65" s="5" t="s">
        <v>6</v>
      </c>
      <c r="E65" s="5" t="s">
        <v>7</v>
      </c>
      <c r="F65" s="5" t="s">
        <v>8</v>
      </c>
      <c r="G65" s="5" t="str">
        <f>_xlfn.TEXTBEFORE(D65, " ", 1) &amp; " 4"</f>
        <v>Unit 4</v>
      </c>
      <c r="H65" s="50">
        <f>COUNTIF(D71:G71,"Pass")*25%</f>
        <v>0.5</v>
      </c>
    </row>
    <row r="66" spans="1:8">
      <c r="A66" s="44"/>
      <c r="B66" s="5" t="s">
        <v>9</v>
      </c>
      <c r="C66" s="134" t="s">
        <v>34</v>
      </c>
      <c r="D66" s="22" t="s">
        <v>11</v>
      </c>
      <c r="E66" s="22" t="s">
        <v>12</v>
      </c>
      <c r="F66" s="22" t="s">
        <v>11</v>
      </c>
      <c r="G66" s="22" t="s">
        <v>22</v>
      </c>
      <c r="H66" s="45"/>
    </row>
    <row r="67" spans="1:8">
      <c r="A67" s="44"/>
      <c r="B67" s="5" t="s">
        <v>14</v>
      </c>
      <c r="C67" s="135"/>
      <c r="D67" s="22" t="s">
        <v>11</v>
      </c>
      <c r="E67" s="22" t="s">
        <v>12</v>
      </c>
      <c r="F67" s="22" t="s">
        <v>11</v>
      </c>
      <c r="G67" s="22" t="s">
        <v>22</v>
      </c>
      <c r="H67" s="45"/>
    </row>
    <row r="68" spans="1:8">
      <c r="A68" s="44"/>
      <c r="B68" s="5" t="s">
        <v>15</v>
      </c>
      <c r="C68" s="135"/>
      <c r="D68" s="22" t="s">
        <v>11</v>
      </c>
      <c r="E68" s="22" t="s">
        <v>12</v>
      </c>
      <c r="F68" s="22" t="s">
        <v>11</v>
      </c>
      <c r="G68" s="22" t="s">
        <v>22</v>
      </c>
      <c r="H68" s="45"/>
    </row>
    <row r="69" spans="1:8">
      <c r="A69" s="44"/>
      <c r="B69" s="9" t="s">
        <v>16</v>
      </c>
      <c r="C69" s="135"/>
      <c r="D69" s="22" t="s">
        <v>11</v>
      </c>
      <c r="E69" s="22" t="s">
        <v>12</v>
      </c>
      <c r="F69" s="22" t="s">
        <v>11</v>
      </c>
      <c r="G69" s="22" t="s">
        <v>22</v>
      </c>
      <c r="H69" s="45"/>
    </row>
    <row r="70" spans="1:8">
      <c r="A70" s="44"/>
      <c r="B70" s="9" t="s">
        <v>17</v>
      </c>
      <c r="C70" s="135"/>
      <c r="D70" s="22" t="s">
        <v>11</v>
      </c>
      <c r="E70" s="22" t="s">
        <v>12</v>
      </c>
      <c r="F70" s="22" t="s">
        <v>11</v>
      </c>
      <c r="G70" s="22" t="s">
        <v>22</v>
      </c>
      <c r="H70" s="45"/>
    </row>
    <row r="71" spans="1:8">
      <c r="A71" s="44"/>
      <c r="B71" s="9" t="s">
        <v>18</v>
      </c>
      <c r="C71" s="135"/>
      <c r="D71" s="22" t="s">
        <v>11</v>
      </c>
      <c r="E71" s="21" t="s">
        <v>12</v>
      </c>
      <c r="F71" s="22" t="s">
        <v>11</v>
      </c>
      <c r="G71" s="22" t="s">
        <v>22</v>
      </c>
      <c r="H71" s="45"/>
    </row>
    <row r="72" spans="1:8">
      <c r="A72" s="44"/>
      <c r="B72" s="9" t="s">
        <v>19</v>
      </c>
      <c r="C72" s="136"/>
      <c r="D72" s="15"/>
      <c r="E72" s="15"/>
      <c r="F72" s="11"/>
      <c r="H72" s="46"/>
    </row>
    <row r="73" spans="1:8">
      <c r="A73" s="7"/>
      <c r="B73" s="30"/>
      <c r="C73" s="32"/>
      <c r="D73" s="31"/>
      <c r="E73" s="31"/>
      <c r="F73" s="31"/>
      <c r="G73" s="31"/>
      <c r="H73" s="48"/>
    </row>
    <row r="74" spans="1:8">
      <c r="A74" s="44" t="s">
        <v>29</v>
      </c>
      <c r="B74" s="5"/>
      <c r="C74" s="39" t="s">
        <v>5</v>
      </c>
      <c r="D74" s="5" t="s">
        <v>6</v>
      </c>
      <c r="E74" s="5" t="s">
        <v>7</v>
      </c>
      <c r="F74" s="5" t="s">
        <v>8</v>
      </c>
      <c r="G74" s="5" t="str">
        <f>_xlfn.TEXTBEFORE(D74, " ", 1) &amp; " 4"</f>
        <v>Unit 4</v>
      </c>
      <c r="H74" s="50">
        <f>COUNTIF(D80:G80,"Pass")*25%</f>
        <v>0.75</v>
      </c>
    </row>
    <row r="75" spans="1:8">
      <c r="A75" s="44"/>
      <c r="B75" s="5" t="s">
        <v>9</v>
      </c>
      <c r="C75" s="130" t="s">
        <v>35</v>
      </c>
      <c r="D75" s="22" t="s">
        <v>11</v>
      </c>
      <c r="E75" s="11" t="s">
        <v>11</v>
      </c>
      <c r="F75" s="11" t="s">
        <v>11</v>
      </c>
      <c r="G75" s="22" t="s">
        <v>12</v>
      </c>
      <c r="H75" s="45"/>
    </row>
    <row r="76" spans="1:8">
      <c r="A76" s="44"/>
      <c r="B76" s="5" t="s">
        <v>14</v>
      </c>
      <c r="C76" s="148"/>
      <c r="D76" s="22" t="s">
        <v>11</v>
      </c>
      <c r="E76" s="11" t="s">
        <v>11</v>
      </c>
      <c r="F76" s="11" t="s">
        <v>11</v>
      </c>
      <c r="G76" s="22" t="s">
        <v>12</v>
      </c>
      <c r="H76" s="45"/>
    </row>
    <row r="77" spans="1:8">
      <c r="A77" s="44"/>
      <c r="B77" s="5" t="s">
        <v>15</v>
      </c>
      <c r="C77" s="148"/>
      <c r="D77" s="22" t="s">
        <v>11</v>
      </c>
      <c r="E77" s="11" t="s">
        <v>11</v>
      </c>
      <c r="F77" s="11" t="s">
        <v>11</v>
      </c>
      <c r="G77" s="22" t="s">
        <v>12</v>
      </c>
      <c r="H77" s="45"/>
    </row>
    <row r="78" spans="1:8">
      <c r="A78" s="44"/>
      <c r="B78" s="9" t="s">
        <v>16</v>
      </c>
      <c r="C78" s="148"/>
      <c r="D78" s="22" t="s">
        <v>11</v>
      </c>
      <c r="E78" s="11" t="s">
        <v>11</v>
      </c>
      <c r="F78" s="11" t="s">
        <v>11</v>
      </c>
      <c r="G78" s="22" t="s">
        <v>12</v>
      </c>
      <c r="H78" s="45"/>
    </row>
    <row r="79" spans="1:8">
      <c r="A79" s="44"/>
      <c r="B79" s="9" t="s">
        <v>17</v>
      </c>
      <c r="C79" s="148"/>
      <c r="D79" s="22" t="s">
        <v>11</v>
      </c>
      <c r="E79" s="11" t="s">
        <v>11</v>
      </c>
      <c r="F79" s="11" t="s">
        <v>11</v>
      </c>
      <c r="G79" s="22" t="s">
        <v>12</v>
      </c>
      <c r="H79" s="45"/>
    </row>
    <row r="80" spans="1:8">
      <c r="A80" s="44"/>
      <c r="B80" s="9" t="s">
        <v>18</v>
      </c>
      <c r="C80" s="148"/>
      <c r="D80" s="22" t="s">
        <v>11</v>
      </c>
      <c r="E80" s="11" t="s">
        <v>11</v>
      </c>
      <c r="F80" s="11" t="s">
        <v>11</v>
      </c>
      <c r="G80" s="11" t="s">
        <v>12</v>
      </c>
      <c r="H80" s="45"/>
    </row>
    <row r="81" spans="1:8">
      <c r="A81" s="44"/>
      <c r="B81" s="9" t="s">
        <v>19</v>
      </c>
      <c r="C81" s="151"/>
      <c r="D81" s="43"/>
      <c r="E81" s="11"/>
      <c r="F81" s="11"/>
      <c r="G81" s="11"/>
      <c r="H81" s="46"/>
    </row>
    <row r="82" spans="1:8">
      <c r="A82" s="7"/>
      <c r="B82" s="30"/>
      <c r="C82" s="32"/>
      <c r="D82" s="31"/>
      <c r="E82" s="31"/>
      <c r="F82" s="31"/>
      <c r="G82" s="31"/>
      <c r="H82" s="48"/>
    </row>
    <row r="83" spans="1:8">
      <c r="A83" s="44" t="s">
        <v>29</v>
      </c>
      <c r="B83" s="5"/>
      <c r="C83" s="39" t="s">
        <v>5</v>
      </c>
      <c r="D83" s="5" t="s">
        <v>6</v>
      </c>
      <c r="E83" s="5" t="s">
        <v>7</v>
      </c>
      <c r="F83" s="5" t="s">
        <v>8</v>
      </c>
      <c r="G83" s="5" t="str">
        <f>_xlfn.TEXTBEFORE(D83, " ", 1) &amp; " 4"</f>
        <v>Unit 4</v>
      </c>
      <c r="H83" s="50">
        <f>COUNTIF(D89:G89,"Pass")*25%</f>
        <v>0.5</v>
      </c>
    </row>
    <row r="84" spans="1:8">
      <c r="A84" s="44"/>
      <c r="B84" s="5" t="s">
        <v>9</v>
      </c>
      <c r="C84" s="133" t="s">
        <v>36</v>
      </c>
      <c r="D84" s="22" t="s">
        <v>22</v>
      </c>
      <c r="E84" s="22" t="s">
        <v>11</v>
      </c>
      <c r="F84" s="22" t="s">
        <v>22</v>
      </c>
      <c r="G84" s="22" t="s">
        <v>11</v>
      </c>
      <c r="H84" s="45"/>
    </row>
    <row r="85" spans="1:8">
      <c r="A85" s="44"/>
      <c r="B85" s="5" t="s">
        <v>14</v>
      </c>
      <c r="C85" s="156"/>
      <c r="D85" s="22" t="s">
        <v>22</v>
      </c>
      <c r="E85" s="22" t="s">
        <v>11</v>
      </c>
      <c r="F85" s="22" t="s">
        <v>22</v>
      </c>
      <c r="G85" s="22" t="s">
        <v>11</v>
      </c>
      <c r="H85" s="45"/>
    </row>
    <row r="86" spans="1:8">
      <c r="A86" s="44"/>
      <c r="B86" s="5" t="s">
        <v>15</v>
      </c>
      <c r="C86" s="156"/>
      <c r="D86" s="22" t="s">
        <v>22</v>
      </c>
      <c r="E86" s="22" t="s">
        <v>11</v>
      </c>
      <c r="F86" s="22" t="s">
        <v>22</v>
      </c>
      <c r="G86" s="22" t="s">
        <v>11</v>
      </c>
      <c r="H86" s="45"/>
    </row>
    <row r="87" spans="1:8">
      <c r="A87" s="44"/>
      <c r="B87" s="9" t="s">
        <v>16</v>
      </c>
      <c r="C87" s="156"/>
      <c r="D87" s="22" t="s">
        <v>22</v>
      </c>
      <c r="E87" s="22" t="s">
        <v>11</v>
      </c>
      <c r="F87" s="22" t="s">
        <v>22</v>
      </c>
      <c r="G87" s="22" t="s">
        <v>11</v>
      </c>
      <c r="H87" s="45"/>
    </row>
    <row r="88" spans="1:8">
      <c r="A88" s="44"/>
      <c r="B88" s="9" t="s">
        <v>17</v>
      </c>
      <c r="C88" s="156"/>
      <c r="D88" s="22" t="s">
        <v>22</v>
      </c>
      <c r="E88" s="22" t="s">
        <v>11</v>
      </c>
      <c r="F88" s="22" t="s">
        <v>22</v>
      </c>
      <c r="G88" s="22" t="s">
        <v>11</v>
      </c>
      <c r="H88" s="45"/>
    </row>
    <row r="89" spans="1:8">
      <c r="A89" s="44"/>
      <c r="B89" s="9" t="s">
        <v>18</v>
      </c>
      <c r="C89" s="156"/>
      <c r="D89" s="22" t="s">
        <v>22</v>
      </c>
      <c r="E89" s="22" t="s">
        <v>11</v>
      </c>
      <c r="F89" s="22" t="s">
        <v>22</v>
      </c>
      <c r="G89" s="22" t="s">
        <v>11</v>
      </c>
      <c r="H89" s="45"/>
    </row>
    <row r="90" spans="1:8">
      <c r="A90" s="44"/>
      <c r="B90" s="9" t="s">
        <v>19</v>
      </c>
      <c r="C90" s="157"/>
      <c r="D90" s="11"/>
      <c r="E90" s="11"/>
      <c r="F90" s="11" t="s">
        <v>23</v>
      </c>
      <c r="G90" s="11"/>
      <c r="H90" s="46"/>
    </row>
    <row r="91" spans="1:8">
      <c r="A91" s="7"/>
      <c r="B91" s="30"/>
      <c r="C91" s="32"/>
      <c r="D91" s="31"/>
      <c r="E91" s="31"/>
      <c r="F91" s="31"/>
      <c r="G91" s="31"/>
      <c r="H91" s="48"/>
    </row>
    <row r="92" spans="1:8">
      <c r="A92" t="s">
        <v>37</v>
      </c>
      <c r="B92" s="34"/>
      <c r="C92" s="39" t="s">
        <v>5</v>
      </c>
      <c r="D92" s="5" t="s">
        <v>6</v>
      </c>
      <c r="E92" s="5" t="s">
        <v>7</v>
      </c>
      <c r="F92" s="5" t="s">
        <v>8</v>
      </c>
      <c r="G92" s="5" t="str">
        <f>_xlfn.TEXTBEFORE(D92, " ", 1) &amp; " 4"</f>
        <v>Unit 4</v>
      </c>
      <c r="H92" s="50">
        <f>COUNTIF(D98:G98,"Pass")*25%</f>
        <v>1</v>
      </c>
    </row>
    <row r="93" spans="1:8">
      <c r="B93" s="5" t="s">
        <v>9</v>
      </c>
      <c r="C93" s="130" t="s">
        <v>38</v>
      </c>
      <c r="D93" s="22" t="s">
        <v>11</v>
      </c>
      <c r="E93" s="22" t="s">
        <v>11</v>
      </c>
      <c r="F93" s="22" t="s">
        <v>11</v>
      </c>
      <c r="G93" s="22" t="s">
        <v>11</v>
      </c>
      <c r="H93" s="45"/>
    </row>
    <row r="94" spans="1:8">
      <c r="B94" s="5" t="s">
        <v>14</v>
      </c>
      <c r="C94" s="148"/>
      <c r="D94" s="22" t="s">
        <v>11</v>
      </c>
      <c r="E94" s="22" t="s">
        <v>11</v>
      </c>
      <c r="F94" s="22" t="s">
        <v>11</v>
      </c>
      <c r="G94" s="22" t="s">
        <v>11</v>
      </c>
      <c r="H94" s="45"/>
    </row>
    <row r="95" spans="1:8">
      <c r="B95" s="5" t="s">
        <v>15</v>
      </c>
      <c r="C95" s="148"/>
      <c r="D95" s="22" t="s">
        <v>11</v>
      </c>
      <c r="E95" s="22" t="s">
        <v>11</v>
      </c>
      <c r="F95" s="22" t="s">
        <v>11</v>
      </c>
      <c r="G95" s="22" t="s">
        <v>11</v>
      </c>
      <c r="H95" s="45"/>
    </row>
    <row r="96" spans="1:8">
      <c r="B96" s="9" t="s">
        <v>16</v>
      </c>
      <c r="C96" s="148"/>
      <c r="D96" s="22" t="s">
        <v>11</v>
      </c>
      <c r="E96" s="22" t="s">
        <v>11</v>
      </c>
      <c r="F96" s="22" t="s">
        <v>11</v>
      </c>
      <c r="G96" s="22" t="s">
        <v>11</v>
      </c>
      <c r="H96" s="45"/>
    </row>
    <row r="97" spans="1:8">
      <c r="B97" s="9" t="s">
        <v>17</v>
      </c>
      <c r="C97" s="148"/>
      <c r="D97" s="22" t="s">
        <v>11</v>
      </c>
      <c r="E97" s="22" t="s">
        <v>11</v>
      </c>
      <c r="F97" s="22" t="s">
        <v>11</v>
      </c>
      <c r="G97" s="22" t="s">
        <v>11</v>
      </c>
      <c r="H97" s="45"/>
    </row>
    <row r="98" spans="1:8">
      <c r="B98" s="9" t="s">
        <v>18</v>
      </c>
      <c r="C98" s="148"/>
      <c r="D98" s="22" t="s">
        <v>11</v>
      </c>
      <c r="E98" s="22" t="s">
        <v>11</v>
      </c>
      <c r="F98" s="11" t="s">
        <v>11</v>
      </c>
      <c r="G98" s="11" t="s">
        <v>11</v>
      </c>
      <c r="H98" s="45"/>
    </row>
    <row r="99" spans="1:8">
      <c r="B99" s="9" t="s">
        <v>19</v>
      </c>
      <c r="C99" s="151"/>
      <c r="D99" s="11"/>
      <c r="E99" s="11"/>
      <c r="F99" s="11"/>
      <c r="G99" s="11"/>
      <c r="H99" s="46"/>
    </row>
    <row r="100" spans="1:8">
      <c r="A100" s="7"/>
      <c r="B100" s="30"/>
      <c r="C100" s="32"/>
      <c r="D100" s="31"/>
      <c r="E100" s="31"/>
      <c r="F100" s="31"/>
      <c r="G100" s="31"/>
      <c r="H100" s="48"/>
    </row>
    <row r="101" spans="1:8">
      <c r="A101" t="s">
        <v>37</v>
      </c>
      <c r="B101" s="34"/>
      <c r="C101" s="39" t="s">
        <v>5</v>
      </c>
      <c r="D101" s="5" t="s">
        <v>6</v>
      </c>
      <c r="E101" s="5" t="s">
        <v>7</v>
      </c>
      <c r="F101" s="5" t="s">
        <v>8</v>
      </c>
      <c r="G101" s="5" t="str">
        <f>_xlfn.TEXTBEFORE(D101, " ", 1) &amp; " 4"</f>
        <v>Unit 4</v>
      </c>
      <c r="H101" s="50">
        <f>COUNTIF(D107:G107,"Pass")*25%</f>
        <v>1</v>
      </c>
    </row>
    <row r="102" spans="1:8">
      <c r="B102" s="5" t="s">
        <v>9</v>
      </c>
      <c r="C102" s="121" t="s">
        <v>39</v>
      </c>
      <c r="D102" s="22" t="s">
        <v>11</v>
      </c>
      <c r="E102" s="22" t="s">
        <v>11</v>
      </c>
      <c r="F102" s="22" t="s">
        <v>11</v>
      </c>
      <c r="G102" s="22" t="s">
        <v>11</v>
      </c>
      <c r="H102" s="45"/>
    </row>
    <row r="103" spans="1:8">
      <c r="B103" s="5" t="s">
        <v>14</v>
      </c>
      <c r="C103" s="122"/>
      <c r="D103" s="22" t="s">
        <v>11</v>
      </c>
      <c r="E103" s="22" t="s">
        <v>11</v>
      </c>
      <c r="F103" s="22" t="s">
        <v>11</v>
      </c>
      <c r="G103" s="22" t="s">
        <v>11</v>
      </c>
      <c r="H103" s="45"/>
    </row>
    <row r="104" spans="1:8">
      <c r="B104" s="5" t="s">
        <v>15</v>
      </c>
      <c r="C104" s="122"/>
      <c r="D104" s="22" t="s">
        <v>11</v>
      </c>
      <c r="E104" s="22" t="s">
        <v>11</v>
      </c>
      <c r="F104" s="22" t="s">
        <v>11</v>
      </c>
      <c r="G104" s="22" t="s">
        <v>11</v>
      </c>
      <c r="H104" s="45"/>
    </row>
    <row r="105" spans="1:8">
      <c r="B105" s="9" t="s">
        <v>16</v>
      </c>
      <c r="C105" s="122"/>
      <c r="D105" s="22" t="s">
        <v>11</v>
      </c>
      <c r="E105" s="22" t="s">
        <v>11</v>
      </c>
      <c r="F105" s="22" t="s">
        <v>11</v>
      </c>
      <c r="G105" s="22" t="s">
        <v>11</v>
      </c>
      <c r="H105" s="45"/>
    </row>
    <row r="106" spans="1:8">
      <c r="B106" s="9" t="s">
        <v>17</v>
      </c>
      <c r="C106" s="122"/>
      <c r="D106" s="22" t="s">
        <v>11</v>
      </c>
      <c r="E106" s="22" t="s">
        <v>11</v>
      </c>
      <c r="F106" s="22" t="s">
        <v>11</v>
      </c>
      <c r="G106" s="22" t="s">
        <v>11</v>
      </c>
      <c r="H106" s="45"/>
    </row>
    <row r="107" spans="1:8">
      <c r="B107" s="9" t="s">
        <v>18</v>
      </c>
      <c r="C107" s="122"/>
      <c r="D107" s="11" t="s">
        <v>11</v>
      </c>
      <c r="E107" s="11" t="s">
        <v>11</v>
      </c>
      <c r="F107" s="11" t="s">
        <v>11</v>
      </c>
      <c r="G107" s="11" t="s">
        <v>11</v>
      </c>
      <c r="H107" s="45"/>
    </row>
    <row r="108" spans="1:8">
      <c r="B108" s="9" t="s">
        <v>19</v>
      </c>
      <c r="C108" s="123"/>
      <c r="D108" s="11"/>
      <c r="E108" s="11"/>
      <c r="F108" s="11"/>
      <c r="G108" s="11"/>
      <c r="H108" s="46"/>
    </row>
    <row r="109" spans="1:8">
      <c r="A109" s="7"/>
      <c r="B109" s="30"/>
      <c r="C109" s="32"/>
      <c r="D109" s="31"/>
      <c r="E109" s="31"/>
      <c r="F109" s="31"/>
      <c r="G109" s="31"/>
      <c r="H109" s="48"/>
    </row>
    <row r="110" spans="1:8">
      <c r="A110" t="s">
        <v>37</v>
      </c>
      <c r="B110" s="34"/>
      <c r="C110" s="39" t="s">
        <v>5</v>
      </c>
      <c r="D110" s="5" t="s">
        <v>6</v>
      </c>
      <c r="E110" s="5" t="s">
        <v>7</v>
      </c>
      <c r="F110" s="5" t="s">
        <v>8</v>
      </c>
      <c r="G110" s="5" t="str">
        <f>_xlfn.TEXTBEFORE(D110, " ", 1) &amp; " 4"</f>
        <v>Unit 4</v>
      </c>
      <c r="H110" s="50">
        <f>COUNTIF(D116:G116,"Pass")*25%</f>
        <v>0.75</v>
      </c>
    </row>
    <row r="111" spans="1:8">
      <c r="B111" s="5" t="s">
        <v>9</v>
      </c>
      <c r="C111" s="121" t="s">
        <v>40</v>
      </c>
      <c r="D111" s="22" t="s">
        <v>11</v>
      </c>
      <c r="E111" s="22" t="s">
        <v>11</v>
      </c>
      <c r="F111" s="22" t="s">
        <v>11</v>
      </c>
      <c r="G111" s="22" t="s">
        <v>22</v>
      </c>
      <c r="H111" s="45"/>
    </row>
    <row r="112" spans="1:8">
      <c r="B112" s="5" t="s">
        <v>14</v>
      </c>
      <c r="C112" s="122"/>
      <c r="D112" s="22" t="s">
        <v>11</v>
      </c>
      <c r="E112" s="22" t="s">
        <v>11</v>
      </c>
      <c r="F112" s="22" t="s">
        <v>11</v>
      </c>
      <c r="G112" s="22" t="s">
        <v>22</v>
      </c>
      <c r="H112" s="45"/>
    </row>
    <row r="113" spans="1:8">
      <c r="B113" s="5" t="s">
        <v>15</v>
      </c>
      <c r="C113" s="122"/>
      <c r="D113" s="22" t="s">
        <v>11</v>
      </c>
      <c r="E113" s="22" t="s">
        <v>11</v>
      </c>
      <c r="F113" s="22" t="s">
        <v>11</v>
      </c>
      <c r="G113" s="22" t="s">
        <v>22</v>
      </c>
      <c r="H113" s="45"/>
    </row>
    <row r="114" spans="1:8">
      <c r="B114" s="9" t="s">
        <v>16</v>
      </c>
      <c r="C114" s="122"/>
      <c r="D114" s="22" t="s">
        <v>11</v>
      </c>
      <c r="E114" s="22" t="s">
        <v>11</v>
      </c>
      <c r="F114" s="22" t="s">
        <v>11</v>
      </c>
      <c r="G114" s="22" t="s">
        <v>22</v>
      </c>
      <c r="H114" s="45"/>
    </row>
    <row r="115" spans="1:8">
      <c r="B115" s="9" t="s">
        <v>17</v>
      </c>
      <c r="C115" s="122"/>
      <c r="D115" s="22" t="s">
        <v>11</v>
      </c>
      <c r="E115" s="22" t="s">
        <v>11</v>
      </c>
      <c r="F115" s="22" t="s">
        <v>11</v>
      </c>
      <c r="G115" s="22" t="s">
        <v>22</v>
      </c>
      <c r="H115" s="45"/>
    </row>
    <row r="116" spans="1:8">
      <c r="B116" s="9" t="s">
        <v>18</v>
      </c>
      <c r="C116" s="122"/>
      <c r="D116" s="11" t="s">
        <v>11</v>
      </c>
      <c r="E116" s="11" t="s">
        <v>11</v>
      </c>
      <c r="F116" s="11" t="s">
        <v>11</v>
      </c>
      <c r="G116" s="22" t="s">
        <v>22</v>
      </c>
      <c r="H116" s="45"/>
    </row>
    <row r="117" spans="1:8">
      <c r="B117" s="9" t="s">
        <v>19</v>
      </c>
      <c r="C117" s="123"/>
      <c r="D117" s="11"/>
      <c r="E117" s="11"/>
      <c r="F117" s="11"/>
      <c r="G117" s="11"/>
      <c r="H117" s="46"/>
    </row>
    <row r="118" spans="1:8">
      <c r="A118" s="7"/>
      <c r="B118" s="30"/>
      <c r="C118" s="32"/>
      <c r="D118" s="31"/>
      <c r="E118" s="31"/>
      <c r="F118" s="31"/>
      <c r="G118" s="31"/>
      <c r="H118" s="48"/>
    </row>
    <row r="119" spans="1:8">
      <c r="A119" t="s">
        <v>37</v>
      </c>
      <c r="B119" s="34"/>
      <c r="C119" s="39" t="s">
        <v>5</v>
      </c>
      <c r="D119" s="5" t="s">
        <v>6</v>
      </c>
      <c r="E119" s="5" t="s">
        <v>7</v>
      </c>
      <c r="F119" s="5" t="s">
        <v>8</v>
      </c>
      <c r="G119" s="5" t="str">
        <f>_xlfn.TEXTBEFORE(D119, " ", 1) &amp; " 4"</f>
        <v>Unit 4</v>
      </c>
      <c r="H119" s="50">
        <f>COUNTIF(D125:G125,"Pass")*25%</f>
        <v>0.75</v>
      </c>
    </row>
    <row r="120" spans="1:8">
      <c r="B120" s="5" t="s">
        <v>9</v>
      </c>
      <c r="C120" s="121" t="s">
        <v>41</v>
      </c>
      <c r="D120" s="22" t="s">
        <v>11</v>
      </c>
      <c r="E120" s="22" t="s">
        <v>12</v>
      </c>
      <c r="F120" s="22" t="s">
        <v>11</v>
      </c>
      <c r="G120" s="22" t="s">
        <v>11</v>
      </c>
      <c r="H120" s="45"/>
    </row>
    <row r="121" spans="1:8">
      <c r="B121" s="5" t="s">
        <v>14</v>
      </c>
      <c r="C121" s="122"/>
      <c r="D121" s="22" t="s">
        <v>11</v>
      </c>
      <c r="E121" s="22" t="s">
        <v>12</v>
      </c>
      <c r="F121" s="22" t="s">
        <v>11</v>
      </c>
      <c r="G121" s="22" t="s">
        <v>11</v>
      </c>
      <c r="H121" s="45"/>
    </row>
    <row r="122" spans="1:8">
      <c r="B122" s="5" t="s">
        <v>15</v>
      </c>
      <c r="C122" s="122"/>
      <c r="D122" s="22" t="s">
        <v>11</v>
      </c>
      <c r="E122" s="22" t="s">
        <v>12</v>
      </c>
      <c r="F122" s="22" t="s">
        <v>11</v>
      </c>
      <c r="G122" s="22" t="s">
        <v>11</v>
      </c>
      <c r="H122" s="45"/>
    </row>
    <row r="123" spans="1:8">
      <c r="B123" s="9" t="s">
        <v>16</v>
      </c>
      <c r="C123" s="122"/>
      <c r="D123" s="22" t="s">
        <v>11</v>
      </c>
      <c r="E123" s="22" t="s">
        <v>12</v>
      </c>
      <c r="F123" s="22" t="s">
        <v>11</v>
      </c>
      <c r="G123" s="22" t="s">
        <v>11</v>
      </c>
      <c r="H123" s="45"/>
    </row>
    <row r="124" spans="1:8">
      <c r="B124" s="9" t="s">
        <v>17</v>
      </c>
      <c r="C124" s="122"/>
      <c r="D124" s="22" t="s">
        <v>11</v>
      </c>
      <c r="E124" s="22" t="s">
        <v>12</v>
      </c>
      <c r="F124" s="22" t="s">
        <v>11</v>
      </c>
      <c r="G124" s="22" t="s">
        <v>11</v>
      </c>
      <c r="H124" s="45"/>
    </row>
    <row r="125" spans="1:8">
      <c r="B125" s="9" t="s">
        <v>18</v>
      </c>
      <c r="C125" s="122"/>
      <c r="D125" s="11" t="s">
        <v>11</v>
      </c>
      <c r="E125" s="11" t="s">
        <v>12</v>
      </c>
      <c r="F125" s="11" t="s">
        <v>11</v>
      </c>
      <c r="G125" s="11" t="s">
        <v>11</v>
      </c>
      <c r="H125" s="45"/>
    </row>
    <row r="126" spans="1:8">
      <c r="B126" s="9" t="s">
        <v>19</v>
      </c>
      <c r="C126" s="123"/>
      <c r="D126" s="11"/>
      <c r="E126" s="11"/>
      <c r="F126" s="11"/>
      <c r="G126" s="11"/>
      <c r="H126" s="46"/>
    </row>
    <row r="127" spans="1:8">
      <c r="A127" s="7"/>
      <c r="B127" s="30"/>
      <c r="C127" s="32"/>
      <c r="D127" s="31"/>
      <c r="E127" s="31"/>
      <c r="F127" s="31"/>
      <c r="G127" s="31"/>
      <c r="H127" s="48"/>
    </row>
    <row r="128" spans="1:8">
      <c r="A128" t="s">
        <v>42</v>
      </c>
      <c r="B128" s="34"/>
      <c r="C128" s="39" t="s">
        <v>5</v>
      </c>
      <c r="D128" s="5" t="s">
        <v>6</v>
      </c>
      <c r="E128" s="5" t="s">
        <v>7</v>
      </c>
      <c r="F128" s="5" t="s">
        <v>8</v>
      </c>
      <c r="G128" s="5" t="str">
        <f>_xlfn.TEXTBEFORE(D128, " ", 1) &amp; " 4"</f>
        <v>Unit 4</v>
      </c>
      <c r="H128" s="50">
        <f>COUNTIF(D134:F134,"Pass")*25%</f>
        <v>0.25</v>
      </c>
    </row>
    <row r="129" spans="1:8">
      <c r="B129" s="5" t="s">
        <v>9</v>
      </c>
      <c r="C129" s="121" t="s">
        <v>43</v>
      </c>
      <c r="D129" s="22" t="s">
        <v>22</v>
      </c>
      <c r="E129" s="22" t="s">
        <v>22</v>
      </c>
      <c r="F129" s="22" t="s">
        <v>11</v>
      </c>
      <c r="G129" s="22" t="s">
        <v>11</v>
      </c>
      <c r="H129" s="45"/>
    </row>
    <row r="130" spans="1:8">
      <c r="B130" s="5" t="s">
        <v>14</v>
      </c>
      <c r="C130" s="122"/>
      <c r="D130" s="22" t="s">
        <v>22</v>
      </c>
      <c r="E130" s="22" t="s">
        <v>22</v>
      </c>
      <c r="F130" s="22" t="s">
        <v>11</v>
      </c>
      <c r="G130" s="22" t="s">
        <v>11</v>
      </c>
      <c r="H130" s="45"/>
    </row>
    <row r="131" spans="1:8">
      <c r="B131" s="5" t="s">
        <v>15</v>
      </c>
      <c r="C131" s="122"/>
      <c r="D131" s="22" t="s">
        <v>22</v>
      </c>
      <c r="E131" s="22" t="s">
        <v>22</v>
      </c>
      <c r="F131" s="22" t="s">
        <v>11</v>
      </c>
      <c r="G131" s="22" t="s">
        <v>11</v>
      </c>
      <c r="H131" s="45"/>
    </row>
    <row r="132" spans="1:8">
      <c r="B132" s="9" t="s">
        <v>16</v>
      </c>
      <c r="C132" s="122"/>
      <c r="D132" s="22" t="s">
        <v>22</v>
      </c>
      <c r="E132" s="22" t="s">
        <v>22</v>
      </c>
      <c r="F132" s="22" t="s">
        <v>11</v>
      </c>
      <c r="G132" s="22" t="s">
        <v>11</v>
      </c>
      <c r="H132" s="45"/>
    </row>
    <row r="133" spans="1:8">
      <c r="B133" s="9" t="s">
        <v>17</v>
      </c>
      <c r="C133" s="122"/>
      <c r="D133" s="22" t="s">
        <v>22</v>
      </c>
      <c r="E133" s="22" t="s">
        <v>22</v>
      </c>
      <c r="F133" s="22" t="s">
        <v>11</v>
      </c>
      <c r="G133" s="22" t="s">
        <v>11</v>
      </c>
      <c r="H133" s="45"/>
    </row>
    <row r="134" spans="1:8">
      <c r="B134" s="9" t="s">
        <v>18</v>
      </c>
      <c r="C134" s="122"/>
      <c r="D134" s="22" t="s">
        <v>22</v>
      </c>
      <c r="E134" s="22" t="s">
        <v>22</v>
      </c>
      <c r="F134" s="11" t="s">
        <v>11</v>
      </c>
      <c r="G134" s="11" t="s">
        <v>11</v>
      </c>
      <c r="H134" s="45"/>
    </row>
    <row r="135" spans="1:8">
      <c r="B135" s="9" t="s">
        <v>19</v>
      </c>
      <c r="C135" s="123"/>
      <c r="D135" s="11"/>
      <c r="E135" s="11"/>
      <c r="F135" s="11"/>
      <c r="G135" s="11"/>
      <c r="H135" s="46"/>
    </row>
    <row r="136" spans="1:8">
      <c r="A136" s="7"/>
      <c r="B136" s="57"/>
      <c r="C136" s="58"/>
      <c r="D136" s="31"/>
      <c r="E136" s="31"/>
      <c r="F136" s="31"/>
      <c r="G136" s="31"/>
      <c r="H136" s="59"/>
    </row>
    <row r="137" spans="1:8">
      <c r="A137" t="s">
        <v>42</v>
      </c>
      <c r="B137" s="34"/>
      <c r="C137" s="39" t="s">
        <v>5</v>
      </c>
      <c r="D137" s="5" t="s">
        <v>6</v>
      </c>
      <c r="E137" s="5" t="s">
        <v>7</v>
      </c>
      <c r="F137" s="5" t="s">
        <v>8</v>
      </c>
      <c r="G137" s="5" t="str">
        <f>_xlfn.TEXTBEFORE(D137, " ", 1) &amp; " 4"</f>
        <v>Unit 4</v>
      </c>
      <c r="H137" s="50">
        <f>COUNTIF(D143:G143,"Pass")*25%</f>
        <v>0.75</v>
      </c>
    </row>
    <row r="138" spans="1:8">
      <c r="B138" s="5" t="s">
        <v>9</v>
      </c>
      <c r="C138" s="121" t="s">
        <v>44</v>
      </c>
      <c r="D138" s="22" t="s">
        <v>11</v>
      </c>
      <c r="E138" s="22" t="s">
        <v>11</v>
      </c>
      <c r="F138" s="22" t="s">
        <v>22</v>
      </c>
      <c r="G138" s="22" t="s">
        <v>11</v>
      </c>
      <c r="H138" s="45"/>
    </row>
    <row r="139" spans="1:8">
      <c r="B139" s="5" t="s">
        <v>14</v>
      </c>
      <c r="C139" s="122"/>
      <c r="D139" s="22" t="s">
        <v>11</v>
      </c>
      <c r="E139" s="22" t="s">
        <v>11</v>
      </c>
      <c r="F139" s="22" t="s">
        <v>22</v>
      </c>
      <c r="G139" s="22" t="s">
        <v>11</v>
      </c>
      <c r="H139" s="45"/>
    </row>
    <row r="140" spans="1:8">
      <c r="B140" s="5" t="s">
        <v>15</v>
      </c>
      <c r="C140" s="122"/>
      <c r="D140" s="22" t="s">
        <v>11</v>
      </c>
      <c r="E140" s="22" t="s">
        <v>11</v>
      </c>
      <c r="F140" s="22" t="s">
        <v>22</v>
      </c>
      <c r="G140" s="22" t="s">
        <v>11</v>
      </c>
      <c r="H140" s="45"/>
    </row>
    <row r="141" spans="1:8">
      <c r="B141" s="9" t="s">
        <v>16</v>
      </c>
      <c r="C141" s="122"/>
      <c r="D141" s="22" t="s">
        <v>11</v>
      </c>
      <c r="E141" s="22" t="s">
        <v>11</v>
      </c>
      <c r="F141" s="22" t="s">
        <v>22</v>
      </c>
      <c r="G141" s="22" t="s">
        <v>11</v>
      </c>
      <c r="H141" s="45"/>
    </row>
    <row r="142" spans="1:8">
      <c r="B142" s="9" t="s">
        <v>17</v>
      </c>
      <c r="C142" s="122"/>
      <c r="D142" s="22" t="s">
        <v>11</v>
      </c>
      <c r="E142" s="22" t="s">
        <v>11</v>
      </c>
      <c r="F142" s="22" t="s">
        <v>22</v>
      </c>
      <c r="G142" s="22" t="s">
        <v>11</v>
      </c>
      <c r="H142" s="45"/>
    </row>
    <row r="143" spans="1:8">
      <c r="B143" s="9" t="s">
        <v>18</v>
      </c>
      <c r="C143" s="122"/>
      <c r="D143" s="11" t="s">
        <v>11</v>
      </c>
      <c r="E143" s="11" t="s">
        <v>11</v>
      </c>
      <c r="F143" s="22" t="s">
        <v>22</v>
      </c>
      <c r="G143" s="11" t="s">
        <v>11</v>
      </c>
      <c r="H143" s="45"/>
    </row>
    <row r="144" spans="1:8">
      <c r="B144" s="9" t="s">
        <v>19</v>
      </c>
      <c r="C144" s="123"/>
      <c r="D144" s="11"/>
      <c r="E144" s="11"/>
      <c r="F144" s="11"/>
      <c r="G144" s="11"/>
      <c r="H144" s="46"/>
    </row>
    <row r="145" spans="1:8">
      <c r="A145" s="7"/>
      <c r="B145" s="57"/>
      <c r="C145" s="58"/>
      <c r="D145" s="31"/>
      <c r="E145" s="31"/>
      <c r="F145" s="31"/>
      <c r="G145" s="31"/>
      <c r="H145" s="59"/>
    </row>
    <row r="146" spans="1:8">
      <c r="A146" t="s">
        <v>42</v>
      </c>
      <c r="B146" s="34"/>
      <c r="C146" s="39" t="s">
        <v>5</v>
      </c>
      <c r="D146" s="5" t="s">
        <v>6</v>
      </c>
      <c r="E146" s="5" t="s">
        <v>7</v>
      </c>
      <c r="F146" s="5" t="s">
        <v>8</v>
      </c>
      <c r="G146" s="5" t="str">
        <f>_xlfn.TEXTBEFORE(D146, " ", 1) &amp; " 4"</f>
        <v>Unit 4</v>
      </c>
      <c r="H146" s="50">
        <f>COUNTIF(D152:G152,"Pass")*25%</f>
        <v>1</v>
      </c>
    </row>
    <row r="147" spans="1:8">
      <c r="B147" s="5" t="s">
        <v>9</v>
      </c>
      <c r="C147" s="121" t="s">
        <v>46</v>
      </c>
      <c r="D147" s="22" t="s">
        <v>11</v>
      </c>
      <c r="E147" s="22" t="s">
        <v>11</v>
      </c>
      <c r="F147" s="22" t="s">
        <v>11</v>
      </c>
      <c r="G147" s="22" t="s">
        <v>11</v>
      </c>
      <c r="H147" s="45"/>
    </row>
    <row r="148" spans="1:8">
      <c r="B148" s="5" t="s">
        <v>14</v>
      </c>
      <c r="C148" s="122"/>
      <c r="D148" s="22" t="s">
        <v>11</v>
      </c>
      <c r="E148" s="22" t="s">
        <v>11</v>
      </c>
      <c r="F148" s="22" t="s">
        <v>11</v>
      </c>
      <c r="G148" s="22" t="s">
        <v>11</v>
      </c>
      <c r="H148" s="45"/>
    </row>
    <row r="149" spans="1:8">
      <c r="B149" s="5" t="s">
        <v>15</v>
      </c>
      <c r="C149" s="122"/>
      <c r="D149" s="22" t="s">
        <v>11</v>
      </c>
      <c r="E149" s="22" t="s">
        <v>11</v>
      </c>
      <c r="F149" s="22" t="s">
        <v>11</v>
      </c>
      <c r="G149" s="22" t="s">
        <v>11</v>
      </c>
      <c r="H149" s="45"/>
    </row>
    <row r="150" spans="1:8">
      <c r="B150" s="9" t="s">
        <v>16</v>
      </c>
      <c r="C150" s="122"/>
      <c r="D150" s="22" t="s">
        <v>11</v>
      </c>
      <c r="E150" s="22" t="s">
        <v>11</v>
      </c>
      <c r="F150" s="22" t="s">
        <v>11</v>
      </c>
      <c r="G150" s="22" t="s">
        <v>11</v>
      </c>
      <c r="H150" s="45"/>
    </row>
    <row r="151" spans="1:8">
      <c r="B151" s="9" t="s">
        <v>17</v>
      </c>
      <c r="C151" s="122"/>
      <c r="D151" s="22" t="s">
        <v>11</v>
      </c>
      <c r="E151" s="22" t="s">
        <v>11</v>
      </c>
      <c r="F151" s="22" t="s">
        <v>11</v>
      </c>
      <c r="G151" s="22" t="s">
        <v>11</v>
      </c>
      <c r="H151" s="45"/>
    </row>
    <row r="152" spans="1:8">
      <c r="B152" s="9" t="s">
        <v>18</v>
      </c>
      <c r="C152" s="122"/>
      <c r="D152" s="11" t="s">
        <v>11</v>
      </c>
      <c r="E152" s="11" t="s">
        <v>11</v>
      </c>
      <c r="F152" s="11" t="s">
        <v>11</v>
      </c>
      <c r="G152" s="11" t="s">
        <v>11</v>
      </c>
      <c r="H152" s="45"/>
    </row>
    <row r="153" spans="1:8">
      <c r="B153" s="9" t="s">
        <v>19</v>
      </c>
      <c r="C153" s="123"/>
      <c r="D153" s="11"/>
      <c r="E153" s="11"/>
      <c r="F153" s="11"/>
      <c r="G153" s="11"/>
      <c r="H153" s="46"/>
    </row>
    <row r="154" spans="1:8">
      <c r="A154" s="7"/>
      <c r="B154" s="57"/>
      <c r="C154" s="58"/>
      <c r="D154" s="31"/>
      <c r="E154" s="31"/>
      <c r="F154" s="31"/>
      <c r="G154" s="31"/>
      <c r="H154" s="59"/>
    </row>
    <row r="155" spans="1:8">
      <c r="A155" t="s">
        <v>42</v>
      </c>
      <c r="B155" s="34"/>
      <c r="C155" s="39" t="s">
        <v>5</v>
      </c>
      <c r="D155" s="5" t="s">
        <v>6</v>
      </c>
      <c r="E155" s="5" t="s">
        <v>7</v>
      </c>
      <c r="F155" s="5" t="s">
        <v>8</v>
      </c>
      <c r="G155" s="5" t="str">
        <f>_xlfn.TEXTBEFORE(D155, " ", 1) &amp; " 4"</f>
        <v>Unit 4</v>
      </c>
      <c r="H155" s="50">
        <f>COUNTIF(D161:G161,"Pass")*25%</f>
        <v>0.5</v>
      </c>
    </row>
    <row r="156" spans="1:8">
      <c r="B156" s="5" t="s">
        <v>9</v>
      </c>
      <c r="C156" s="121" t="s">
        <v>47</v>
      </c>
      <c r="D156" s="22" t="s">
        <v>11</v>
      </c>
      <c r="E156" s="22" t="s">
        <v>11</v>
      </c>
      <c r="F156" s="22" t="s">
        <v>11</v>
      </c>
      <c r="G156" s="22" t="s">
        <v>11</v>
      </c>
      <c r="H156" s="45"/>
    </row>
    <row r="157" spans="1:8">
      <c r="B157" s="5" t="s">
        <v>14</v>
      </c>
      <c r="C157" s="122"/>
      <c r="D157" s="22" t="s">
        <v>11</v>
      </c>
      <c r="E157" s="22" t="s">
        <v>11</v>
      </c>
      <c r="F157" s="22" t="s">
        <v>11</v>
      </c>
      <c r="G157" s="22" t="s">
        <v>11</v>
      </c>
      <c r="H157" s="45"/>
    </row>
    <row r="158" spans="1:8">
      <c r="B158" s="5" t="s">
        <v>15</v>
      </c>
      <c r="C158" s="122"/>
      <c r="D158" s="22" t="s">
        <v>11</v>
      </c>
      <c r="E158" s="22" t="s">
        <v>11</v>
      </c>
      <c r="F158" s="22" t="s">
        <v>11</v>
      </c>
      <c r="G158" s="22" t="s">
        <v>11</v>
      </c>
      <c r="H158" s="45"/>
    </row>
    <row r="159" spans="1:8">
      <c r="B159" s="9" t="s">
        <v>16</v>
      </c>
      <c r="C159" s="122"/>
      <c r="D159" s="22" t="s">
        <v>11</v>
      </c>
      <c r="E159" s="22" t="s">
        <v>11</v>
      </c>
      <c r="F159" s="22" t="s">
        <v>11</v>
      </c>
      <c r="G159" s="22" t="s">
        <v>11</v>
      </c>
      <c r="H159" s="45"/>
    </row>
    <row r="160" spans="1:8">
      <c r="B160" s="9" t="s">
        <v>17</v>
      </c>
      <c r="C160" s="122"/>
      <c r="D160" s="22" t="s">
        <v>11</v>
      </c>
      <c r="E160" s="22" t="s">
        <v>22</v>
      </c>
      <c r="F160" s="22" t="s">
        <v>11</v>
      </c>
      <c r="G160" s="22" t="s">
        <v>22</v>
      </c>
      <c r="H160" s="45"/>
    </row>
    <row r="161" spans="1:8">
      <c r="B161" s="9" t="s">
        <v>18</v>
      </c>
      <c r="C161" s="122"/>
      <c r="D161" s="11" t="s">
        <v>11</v>
      </c>
      <c r="E161" s="22"/>
      <c r="F161" s="11" t="s">
        <v>11</v>
      </c>
      <c r="G161" s="22"/>
      <c r="H161" s="45"/>
    </row>
    <row r="162" spans="1:8">
      <c r="B162" s="9" t="s">
        <v>19</v>
      </c>
      <c r="C162" s="123"/>
      <c r="E162" s="11" t="s">
        <v>48</v>
      </c>
      <c r="G162" s="11" t="s">
        <v>313</v>
      </c>
      <c r="H162" s="46"/>
    </row>
    <row r="163" spans="1:8">
      <c r="A163" s="7"/>
      <c r="B163" s="57"/>
      <c r="C163" s="58"/>
      <c r="D163" s="31"/>
      <c r="E163" s="31"/>
      <c r="F163" s="31"/>
      <c r="G163" s="31"/>
      <c r="H163" s="59"/>
    </row>
    <row r="164" spans="1:8">
      <c r="A164" t="s">
        <v>42</v>
      </c>
      <c r="B164" s="34"/>
      <c r="C164" s="39" t="s">
        <v>5</v>
      </c>
      <c r="D164" s="5" t="s">
        <v>6</v>
      </c>
      <c r="E164" s="5" t="s">
        <v>7</v>
      </c>
      <c r="F164" s="5" t="s">
        <v>8</v>
      </c>
      <c r="G164" s="5" t="str">
        <f>_xlfn.TEXTBEFORE(D164, " ", 1) &amp; " 4"</f>
        <v>Unit 4</v>
      </c>
      <c r="H164" s="50">
        <f>COUNTIF(D170:G170,"Pass")*25%</f>
        <v>0.25</v>
      </c>
    </row>
    <row r="165" spans="1:8">
      <c r="B165" s="5" t="s">
        <v>9</v>
      </c>
      <c r="C165" s="121" t="s">
        <v>49</v>
      </c>
      <c r="D165" s="22" t="s">
        <v>11</v>
      </c>
      <c r="E165" s="22" t="s">
        <v>11</v>
      </c>
      <c r="F165" s="22" t="s">
        <v>11</v>
      </c>
      <c r="G165" s="22" t="s">
        <v>11</v>
      </c>
      <c r="H165" s="45"/>
    </row>
    <row r="166" spans="1:8">
      <c r="B166" s="5" t="s">
        <v>14</v>
      </c>
      <c r="C166" s="122"/>
      <c r="D166" s="22" t="s">
        <v>11</v>
      </c>
      <c r="E166" s="22" t="s">
        <v>11</v>
      </c>
      <c r="F166" s="22" t="s">
        <v>11</v>
      </c>
      <c r="G166" s="22" t="s">
        <v>11</v>
      </c>
      <c r="H166" s="45"/>
    </row>
    <row r="167" spans="1:8">
      <c r="B167" s="5" t="s">
        <v>15</v>
      </c>
      <c r="C167" s="122"/>
      <c r="D167" s="22" t="s">
        <v>11</v>
      </c>
      <c r="E167" s="22" t="s">
        <v>11</v>
      </c>
      <c r="F167" s="22" t="s">
        <v>11</v>
      </c>
      <c r="G167" s="22" t="s">
        <v>11</v>
      </c>
      <c r="H167" s="45"/>
    </row>
    <row r="168" spans="1:8">
      <c r="B168" s="9" t="s">
        <v>16</v>
      </c>
      <c r="C168" s="122"/>
      <c r="D168" s="22" t="s">
        <v>11</v>
      </c>
      <c r="E168" s="22" t="s">
        <v>11</v>
      </c>
      <c r="F168" s="22" t="s">
        <v>22</v>
      </c>
      <c r="G168" s="22" t="s">
        <v>11</v>
      </c>
      <c r="H168" s="45"/>
    </row>
    <row r="169" spans="1:8">
      <c r="B169" s="9" t="s">
        <v>17</v>
      </c>
      <c r="C169" s="122"/>
      <c r="D169" s="22" t="s">
        <v>22</v>
      </c>
      <c r="E169" s="22" t="s">
        <v>22</v>
      </c>
      <c r="F169" s="22" t="s">
        <v>22</v>
      </c>
      <c r="G169" s="22" t="s">
        <v>11</v>
      </c>
      <c r="H169" s="45"/>
    </row>
    <row r="170" spans="1:8">
      <c r="B170" s="9" t="s">
        <v>18</v>
      </c>
      <c r="C170" s="122"/>
      <c r="D170" s="11"/>
      <c r="E170" s="11"/>
      <c r="F170" s="22" t="s">
        <v>22</v>
      </c>
      <c r="G170" s="11" t="s">
        <v>11</v>
      </c>
      <c r="H170" s="45"/>
    </row>
    <row r="171" spans="1:8">
      <c r="B171" s="9" t="s">
        <v>19</v>
      </c>
      <c r="C171" s="123"/>
      <c r="D171" s="11" t="s">
        <v>48</v>
      </c>
      <c r="E171" s="11" t="s">
        <v>48</v>
      </c>
      <c r="F171" s="11"/>
      <c r="G171" s="11"/>
      <c r="H171" s="46"/>
    </row>
    <row r="172" spans="1:8">
      <c r="A172" s="7"/>
      <c r="B172" s="57"/>
      <c r="C172" s="58"/>
      <c r="D172" s="31"/>
      <c r="E172" s="31"/>
      <c r="F172" s="31"/>
      <c r="G172" s="31"/>
      <c r="H172" s="59"/>
    </row>
    <row r="173" spans="1:8">
      <c r="A173" t="s">
        <v>42</v>
      </c>
      <c r="B173" s="34"/>
      <c r="C173" s="39" t="s">
        <v>5</v>
      </c>
      <c r="D173" s="5" t="s">
        <v>6</v>
      </c>
      <c r="E173" s="5" t="s">
        <v>7</v>
      </c>
      <c r="F173" s="5" t="s">
        <v>8</v>
      </c>
      <c r="G173" s="5" t="str">
        <f>_xlfn.TEXTBEFORE(D173, " ", 1) &amp; " 4"</f>
        <v>Unit 4</v>
      </c>
      <c r="H173" s="50">
        <f>COUNTIF(D179:G179,"Pass")*25%</f>
        <v>1</v>
      </c>
    </row>
    <row r="174" spans="1:8">
      <c r="B174" s="5" t="s">
        <v>9</v>
      </c>
      <c r="C174" s="121" t="s">
        <v>51</v>
      </c>
      <c r="D174" s="22" t="s">
        <v>11</v>
      </c>
      <c r="E174" s="22" t="s">
        <v>11</v>
      </c>
      <c r="F174" s="22" t="s">
        <v>11</v>
      </c>
      <c r="G174" s="22" t="s">
        <v>11</v>
      </c>
      <c r="H174" s="45"/>
    </row>
    <row r="175" spans="1:8">
      <c r="B175" s="5" t="s">
        <v>14</v>
      </c>
      <c r="C175" s="122"/>
      <c r="D175" s="22" t="s">
        <v>11</v>
      </c>
      <c r="E175" s="22" t="s">
        <v>11</v>
      </c>
      <c r="F175" s="22" t="s">
        <v>11</v>
      </c>
      <c r="G175" s="22" t="s">
        <v>11</v>
      </c>
      <c r="H175" s="45"/>
    </row>
    <row r="176" spans="1:8">
      <c r="B176" s="5" t="s">
        <v>15</v>
      </c>
      <c r="C176" s="122"/>
      <c r="D176" s="22" t="s">
        <v>11</v>
      </c>
      <c r="E176" s="22" t="s">
        <v>11</v>
      </c>
      <c r="F176" s="22" t="s">
        <v>11</v>
      </c>
      <c r="G176" s="22" t="s">
        <v>11</v>
      </c>
      <c r="H176" s="45"/>
    </row>
    <row r="177" spans="2:8">
      <c r="B177" s="9" t="s">
        <v>16</v>
      </c>
      <c r="C177" s="122"/>
      <c r="D177" s="22" t="s">
        <v>11</v>
      </c>
      <c r="E177" s="22" t="s">
        <v>11</v>
      </c>
      <c r="F177" s="22" t="s">
        <v>11</v>
      </c>
      <c r="G177" s="22" t="s">
        <v>11</v>
      </c>
      <c r="H177" s="45"/>
    </row>
    <row r="178" spans="2:8">
      <c r="B178" s="9" t="s">
        <v>17</v>
      </c>
      <c r="C178" s="122"/>
      <c r="D178" s="22" t="s">
        <v>11</v>
      </c>
      <c r="E178" s="22" t="s">
        <v>11</v>
      </c>
      <c r="F178" s="22" t="s">
        <v>11</v>
      </c>
      <c r="G178" s="22" t="s">
        <v>11</v>
      </c>
      <c r="H178" s="45"/>
    </row>
    <row r="179" spans="2:8">
      <c r="B179" s="9" t="s">
        <v>18</v>
      </c>
      <c r="C179" s="122"/>
      <c r="D179" s="11" t="s">
        <v>11</v>
      </c>
      <c r="E179" s="11" t="s">
        <v>11</v>
      </c>
      <c r="F179" s="11" t="s">
        <v>11</v>
      </c>
      <c r="G179" s="11" t="s">
        <v>11</v>
      </c>
      <c r="H179" s="45"/>
    </row>
    <row r="180" spans="2:8">
      <c r="B180" s="9" t="s">
        <v>19</v>
      </c>
      <c r="C180" s="123"/>
      <c r="D180" s="11"/>
      <c r="E180" s="11"/>
      <c r="F180" s="11"/>
      <c r="G180" s="11"/>
      <c r="H180" s="46"/>
    </row>
  </sheetData>
  <mergeCells count="22">
    <mergeCell ref="C174:C180"/>
    <mergeCell ref="C147:C153"/>
    <mergeCell ref="C156:C162"/>
    <mergeCell ref="C165:C171"/>
    <mergeCell ref="C48:C54"/>
    <mergeCell ref="C120:C126"/>
    <mergeCell ref="C129:C135"/>
    <mergeCell ref="C138:C144"/>
    <mergeCell ref="C39:C45"/>
    <mergeCell ref="C111:C117"/>
    <mergeCell ref="C57:C63"/>
    <mergeCell ref="C66:C72"/>
    <mergeCell ref="C75:C81"/>
    <mergeCell ref="C84:C90"/>
    <mergeCell ref="C93:C99"/>
    <mergeCell ref="C102:C108"/>
    <mergeCell ref="D1:G1"/>
    <mergeCell ref="C3:C9"/>
    <mergeCell ref="C12:C18"/>
    <mergeCell ref="C21:C27"/>
    <mergeCell ref="C30:C36"/>
    <mergeCell ref="B1:C1"/>
  </mergeCells>
  <conditionalFormatting sqref="D3:G180">
    <cfRule type="expression" dxfId="6" priority="1">
      <formula>UPPER(TRIM(D3))="PASS"</formula>
    </cfRule>
    <cfRule type="expression" dxfId="5" priority="2">
      <formula>UPPER(TRIM(D3))="FAIL"</formula>
    </cfRule>
    <cfRule type="expression" dxfId="4" priority="3">
      <formula>UPPER(TRIM(D3))="DAMAGE"</formula>
    </cfRule>
    <cfRule type="expression" dxfId="3" priority="4">
      <formula>OR(UPPER(TRIM(D3))="NA", UPPER(TRIM(D3))="N/A")</formula>
    </cfRule>
    <cfRule type="expression" dxfId="2" priority="5">
      <formula>OR(UPPER(TRIM(D3))="PENDING", UPPER(TRIM(D3))="WAITING TEST", UPPER(TRIM(D3))="WAITING", UPPER(TRIM(D3))="IN PROGRESS")</formula>
    </cfRule>
    <cfRule type="expression" dxfId="1" priority="6">
      <formula>UPPER(TRIM(D3))="ERROR"</formula>
    </cfRule>
    <cfRule type="expression" dxfId="0" priority="7">
      <formula>ISNUMBER(SEARCH("VDDQC",D3))</formula>
    </cfRule>
  </conditionalFormatting>
  <dataValidations count="2">
    <dataValidation type="list" allowBlank="1" showErrorMessage="1" errorTitle="Invalid Status" error="Please select Pass, Fail, or Damage only." sqref="D107:G107 D8:G8 D17:G17 D35:G35 D44:G44 D53:G53 D62:G62 D98:G98 D80:G80 D26:G26 D116:G116 D71:G71 D125:G125 D161:G161 D143:G143 D89:G89 D170:G170 D134:G134 D152:G152 D179:G179" xr:uid="{46152D81-9895-43AA-9524-F581EB8BA457}">
      <formula1>"Pass,Fail,Damage"</formula1>
    </dataValidation>
    <dataValidation type="list" allowBlank="1" showInputMessage="1" showErrorMessage="1" sqref="G57:G62 D75:F79 G48:G53 D80:G80 D26:G26 D39:E44 E57:E62 D8:G8 D17:G17 D35:G35 D102:G107 D93:G98 D48:E53 D66:D71 F66:G71 D111:G116 D84:G89 D125:E125 D134:E134 D156:G161 F120:G125 D138:G143 D120:D124 F129:G134 D147:G152 D129:G133 D174:G179 D165:G170" xr:uid="{E3CDA2AE-215E-4189-87F8-11DD78924DE0}">
      <formula1>"Pass, Fail, Damage"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BB784-ABE1-4BC3-8058-5A082A9C32A6}">
  <dimension ref="A1:R62"/>
  <sheetViews>
    <sheetView tabSelected="1" zoomScale="130" zoomScaleNormal="130" workbookViewId="0">
      <pane ySplit="2" topLeftCell="A50" activePane="bottomLeft" state="frozen"/>
      <selection pane="bottomLeft" activeCell="F26" sqref="F26"/>
    </sheetView>
  </sheetViews>
  <sheetFormatPr defaultRowHeight="15"/>
  <cols>
    <col min="1" max="1" width="15.28515625" customWidth="1"/>
    <col min="2" max="5" width="13.28515625" customWidth="1"/>
    <col min="6" max="7" width="15.28515625" customWidth="1"/>
    <col min="8" max="8" width="13.28515625" customWidth="1"/>
  </cols>
  <sheetData>
    <row r="1" spans="1:17" ht="24.95" customHeight="1">
      <c r="A1" s="144" t="s">
        <v>314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</row>
    <row r="2" spans="1:17" ht="24.95" customHeight="1">
      <c r="A2" s="145" t="s">
        <v>315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</row>
    <row r="4" spans="1:17" ht="21.95" customHeight="1">
      <c r="A4" s="172" t="s">
        <v>171</v>
      </c>
      <c r="B4" s="172"/>
      <c r="C4" s="172"/>
      <c r="D4" s="172"/>
      <c r="E4" s="172"/>
      <c r="F4" s="172"/>
      <c r="G4" s="172"/>
      <c r="I4" s="68" t="s">
        <v>143</v>
      </c>
      <c r="J4" s="68" t="s">
        <v>54</v>
      </c>
      <c r="P4" s="68" t="s">
        <v>139</v>
      </c>
      <c r="Q4" s="68" t="s">
        <v>135</v>
      </c>
    </row>
    <row r="5" spans="1:17">
      <c r="A5" s="98" t="s">
        <v>53</v>
      </c>
      <c r="B5" s="98" t="s">
        <v>54</v>
      </c>
      <c r="C5" s="98" t="s">
        <v>129</v>
      </c>
      <c r="D5" s="98" t="s">
        <v>172</v>
      </c>
      <c r="E5" s="98" t="s">
        <v>143</v>
      </c>
      <c r="F5" s="98" t="s">
        <v>173</v>
      </c>
      <c r="G5" s="98" t="s">
        <v>174</v>
      </c>
      <c r="I5" t="s">
        <v>11</v>
      </c>
      <c r="J5">
        <v>52</v>
      </c>
      <c r="P5" t="s">
        <v>4</v>
      </c>
      <c r="Q5" s="52">
        <v>0.5625</v>
      </c>
    </row>
    <row r="6" spans="1:17">
      <c r="A6" t="s">
        <v>175</v>
      </c>
      <c r="B6">
        <v>80</v>
      </c>
      <c r="C6" t="s">
        <v>132</v>
      </c>
      <c r="D6" t="s">
        <v>316</v>
      </c>
      <c r="E6" t="s">
        <v>317</v>
      </c>
      <c r="F6" t="s">
        <v>318</v>
      </c>
      <c r="G6" t="s">
        <v>177</v>
      </c>
      <c r="I6" t="s">
        <v>22</v>
      </c>
      <c r="J6">
        <v>13</v>
      </c>
      <c r="P6" t="s">
        <v>140</v>
      </c>
      <c r="Q6" s="52">
        <v>0.54169999999999996</v>
      </c>
    </row>
    <row r="7" spans="1:17">
      <c r="A7" t="s">
        <v>178</v>
      </c>
      <c r="B7">
        <v>52</v>
      </c>
      <c r="C7" t="str">
        <f>TEXT(B7/76,"0.0%")</f>
        <v>68.4%</v>
      </c>
      <c r="D7" t="s">
        <v>179</v>
      </c>
      <c r="E7" t="s">
        <v>319</v>
      </c>
      <c r="F7" t="s">
        <v>320</v>
      </c>
      <c r="G7" t="s">
        <v>180</v>
      </c>
      <c r="I7" t="s">
        <v>12</v>
      </c>
      <c r="J7">
        <v>11</v>
      </c>
      <c r="P7" t="s">
        <v>141</v>
      </c>
      <c r="Q7" s="52">
        <v>0.875</v>
      </c>
    </row>
    <row r="8" spans="1:17">
      <c r="A8" t="s">
        <v>181</v>
      </c>
      <c r="B8">
        <v>13</v>
      </c>
      <c r="C8" t="str">
        <f>TEXT(B8/76,"0.0%")</f>
        <v>17.1%</v>
      </c>
      <c r="D8" t="s">
        <v>182</v>
      </c>
      <c r="E8" t="s">
        <v>321</v>
      </c>
      <c r="F8" t="s">
        <v>322</v>
      </c>
      <c r="G8" t="s">
        <v>183</v>
      </c>
      <c r="I8" t="s">
        <v>302</v>
      </c>
      <c r="J8">
        <v>4</v>
      </c>
      <c r="P8" t="s">
        <v>190</v>
      </c>
      <c r="Q8" s="52">
        <v>0.8</v>
      </c>
    </row>
    <row r="9" spans="1:17">
      <c r="A9" t="s">
        <v>184</v>
      </c>
      <c r="B9">
        <v>11</v>
      </c>
      <c r="C9" t="str">
        <f>TEXT(B9/76,"0.0%")</f>
        <v>14.5%</v>
      </c>
      <c r="D9" t="s">
        <v>182</v>
      </c>
      <c r="E9" t="s">
        <v>323</v>
      </c>
      <c r="F9" t="s">
        <v>324</v>
      </c>
      <c r="G9" t="s">
        <v>185</v>
      </c>
    </row>
    <row r="10" spans="1:17">
      <c r="A10" t="s">
        <v>186</v>
      </c>
      <c r="B10">
        <v>4</v>
      </c>
      <c r="C10" t="str">
        <f>TEXT(B10/80,"0.0%")</f>
        <v>5.0%</v>
      </c>
      <c r="D10">
        <v>0</v>
      </c>
      <c r="E10" t="s">
        <v>325</v>
      </c>
      <c r="F10" t="s">
        <v>324</v>
      </c>
      <c r="G10" t="s">
        <v>187</v>
      </c>
    </row>
    <row r="12" spans="1:17" ht="21.95" customHeight="1">
      <c r="A12" s="173" t="s">
        <v>188</v>
      </c>
      <c r="B12" s="173"/>
      <c r="C12" s="173"/>
      <c r="D12" s="173"/>
      <c r="E12" s="173"/>
      <c r="F12" s="173"/>
      <c r="G12" s="173"/>
    </row>
    <row r="13" spans="1:17">
      <c r="A13" s="100" t="s">
        <v>139</v>
      </c>
      <c r="B13" s="100" t="s">
        <v>11</v>
      </c>
      <c r="C13" s="100" t="s">
        <v>22</v>
      </c>
      <c r="D13" s="100" t="s">
        <v>12</v>
      </c>
      <c r="E13" s="100" t="s">
        <v>82</v>
      </c>
      <c r="F13" s="100" t="s">
        <v>135</v>
      </c>
      <c r="G13" s="100" t="s">
        <v>189</v>
      </c>
    </row>
    <row r="14" spans="1:17">
      <c r="A14" t="s">
        <v>4</v>
      </c>
      <c r="B14">
        <v>9</v>
      </c>
      <c r="C14">
        <v>4</v>
      </c>
      <c r="D14">
        <v>3</v>
      </c>
      <c r="E14">
        <v>16</v>
      </c>
      <c r="F14" t="str">
        <f>TEXT(B14/E14,"0.0%")</f>
        <v>56.3%</v>
      </c>
      <c r="G14" t="s">
        <v>326</v>
      </c>
    </row>
    <row r="15" spans="1:17">
      <c r="A15" t="s">
        <v>140</v>
      </c>
      <c r="B15">
        <v>13</v>
      </c>
      <c r="C15">
        <v>4</v>
      </c>
      <c r="D15">
        <v>7</v>
      </c>
      <c r="E15">
        <v>24</v>
      </c>
      <c r="F15" t="str">
        <f>TEXT(B15/E15,"0.0%")</f>
        <v>54.2%</v>
      </c>
      <c r="G15" t="s">
        <v>326</v>
      </c>
    </row>
    <row r="16" spans="1:17">
      <c r="A16" t="s">
        <v>141</v>
      </c>
      <c r="B16">
        <v>14</v>
      </c>
      <c r="C16">
        <v>1</v>
      </c>
      <c r="D16">
        <v>1</v>
      </c>
      <c r="E16">
        <v>16</v>
      </c>
      <c r="F16" t="str">
        <f>TEXT(B16/E16,"0.0%")</f>
        <v>87.5%</v>
      </c>
      <c r="G16" t="s">
        <v>327</v>
      </c>
    </row>
    <row r="17" spans="1:18">
      <c r="A17" t="s">
        <v>190</v>
      </c>
      <c r="B17">
        <v>16</v>
      </c>
      <c r="C17">
        <v>4</v>
      </c>
      <c r="D17">
        <v>0</v>
      </c>
      <c r="E17">
        <v>20</v>
      </c>
      <c r="F17" t="str">
        <f>TEXT(B17/E17,"0.0%")</f>
        <v>80.0%</v>
      </c>
      <c r="G17" t="s">
        <v>328</v>
      </c>
    </row>
    <row r="18" spans="1:18">
      <c r="A18" s="99" t="s">
        <v>191</v>
      </c>
      <c r="B18" s="99">
        <v>52</v>
      </c>
      <c r="C18" s="99">
        <v>13</v>
      </c>
      <c r="D18" s="99">
        <v>11</v>
      </c>
      <c r="E18" s="99">
        <v>76</v>
      </c>
      <c r="F18" s="99" t="str">
        <f>TEXT(B18/E18,"0.0%")</f>
        <v>68.4%</v>
      </c>
      <c r="G18" s="99" t="s">
        <v>192</v>
      </c>
    </row>
    <row r="20" spans="1:18" ht="21.95" customHeight="1">
      <c r="A20" s="174" t="s">
        <v>193</v>
      </c>
      <c r="B20" s="174"/>
      <c r="C20" s="174"/>
      <c r="D20" s="174"/>
      <c r="E20" s="174"/>
      <c r="F20" s="174"/>
      <c r="G20" s="174"/>
    </row>
    <row r="21" spans="1:18">
      <c r="A21" s="102" t="s">
        <v>134</v>
      </c>
      <c r="B21" s="102" t="s">
        <v>11</v>
      </c>
      <c r="C21" s="102" t="s">
        <v>22</v>
      </c>
      <c r="D21" s="102" t="s">
        <v>12</v>
      </c>
      <c r="E21" s="102" t="s">
        <v>194</v>
      </c>
      <c r="F21" s="102" t="s">
        <v>135</v>
      </c>
      <c r="G21" s="102" t="s">
        <v>143</v>
      </c>
    </row>
    <row r="22" spans="1:18">
      <c r="A22" t="s">
        <v>6</v>
      </c>
      <c r="B22">
        <v>15</v>
      </c>
      <c r="C22">
        <v>1</v>
      </c>
      <c r="D22">
        <v>3</v>
      </c>
      <c r="E22">
        <v>19</v>
      </c>
      <c r="F22" t="str">
        <f>TEXT(B22/E22,"0.0%")</f>
        <v>78.9%</v>
      </c>
      <c r="G22" t="s">
        <v>329</v>
      </c>
    </row>
    <row r="23" spans="1:18">
      <c r="A23" t="s">
        <v>7</v>
      </c>
      <c r="B23">
        <v>13</v>
      </c>
      <c r="C23">
        <v>3</v>
      </c>
      <c r="D23">
        <v>2</v>
      </c>
      <c r="E23">
        <v>18</v>
      </c>
      <c r="F23" t="str">
        <f>TEXT(B23/E23,"0.0%")</f>
        <v>72.2%</v>
      </c>
      <c r="G23" t="s">
        <v>330</v>
      </c>
    </row>
    <row r="24" spans="1:18">
      <c r="A24" t="s">
        <v>8</v>
      </c>
      <c r="B24">
        <v>13</v>
      </c>
      <c r="C24">
        <v>4</v>
      </c>
      <c r="D24">
        <v>2</v>
      </c>
      <c r="E24">
        <v>19</v>
      </c>
      <c r="F24" t="str">
        <f>TEXT(B24/E24,"0.0%")</f>
        <v>68.4%</v>
      </c>
      <c r="G24" t="s">
        <v>330</v>
      </c>
      <c r="I24" s="68" t="s">
        <v>139</v>
      </c>
      <c r="J24" s="68" t="s">
        <v>11</v>
      </c>
      <c r="K24" s="68" t="s">
        <v>22</v>
      </c>
      <c r="L24" s="68" t="s">
        <v>12</v>
      </c>
      <c r="P24" s="68" t="s">
        <v>300</v>
      </c>
      <c r="Q24" s="68" t="s">
        <v>135</v>
      </c>
      <c r="R24" s="68" t="s">
        <v>172</v>
      </c>
    </row>
    <row r="25" spans="1:18">
      <c r="A25" t="s">
        <v>136</v>
      </c>
      <c r="B25">
        <v>11</v>
      </c>
      <c r="C25">
        <v>5</v>
      </c>
      <c r="D25">
        <v>4</v>
      </c>
      <c r="E25">
        <v>20</v>
      </c>
      <c r="F25" t="str">
        <f>TEXT(B25/E25,"0.0%")</f>
        <v>55.0%</v>
      </c>
      <c r="G25" t="s">
        <v>331</v>
      </c>
      <c r="I25" t="s">
        <v>4</v>
      </c>
      <c r="J25">
        <v>9</v>
      </c>
      <c r="K25">
        <v>4</v>
      </c>
      <c r="L25">
        <v>3</v>
      </c>
      <c r="P25" t="s">
        <v>6</v>
      </c>
      <c r="Q25" s="52">
        <v>0.78900000000000003</v>
      </c>
      <c r="R25" s="52">
        <v>0.75</v>
      </c>
    </row>
    <row r="26" spans="1:18">
      <c r="A26" s="101" t="s">
        <v>191</v>
      </c>
      <c r="B26" s="101">
        <v>52</v>
      </c>
      <c r="C26" s="101">
        <v>13</v>
      </c>
      <c r="D26" s="101">
        <v>11</v>
      </c>
      <c r="E26" s="101">
        <v>76</v>
      </c>
      <c r="F26" s="101" t="str">
        <f>TEXT(B26/E26,"0.0%")</f>
        <v>68.4%</v>
      </c>
      <c r="G26" s="101" t="s">
        <v>195</v>
      </c>
      <c r="I26" t="s">
        <v>140</v>
      </c>
      <c r="J26">
        <v>13</v>
      </c>
      <c r="K26">
        <v>4</v>
      </c>
      <c r="L26">
        <v>7</v>
      </c>
      <c r="P26" t="s">
        <v>7</v>
      </c>
      <c r="Q26" s="52">
        <v>0.72199999999999998</v>
      </c>
      <c r="R26" s="52">
        <v>0.75</v>
      </c>
    </row>
    <row r="27" spans="1:18">
      <c r="I27" t="s">
        <v>141</v>
      </c>
      <c r="J27">
        <v>14</v>
      </c>
      <c r="K27">
        <v>1</v>
      </c>
      <c r="L27">
        <v>1</v>
      </c>
      <c r="P27" t="s">
        <v>8</v>
      </c>
      <c r="Q27" s="52">
        <v>0.68400000000000005</v>
      </c>
      <c r="R27" s="52">
        <v>0.75</v>
      </c>
    </row>
    <row r="28" spans="1:18" ht="21.95" customHeight="1">
      <c r="A28" s="175" t="s">
        <v>332</v>
      </c>
      <c r="B28" s="175"/>
      <c r="C28" s="175"/>
      <c r="D28" s="175"/>
      <c r="E28" s="175"/>
      <c r="F28" s="175"/>
      <c r="I28" t="s">
        <v>190</v>
      </c>
      <c r="J28">
        <v>16</v>
      </c>
      <c r="K28">
        <v>4</v>
      </c>
      <c r="L28">
        <v>0</v>
      </c>
      <c r="P28" t="s">
        <v>136</v>
      </c>
      <c r="Q28" s="52">
        <v>0.55000000000000004</v>
      </c>
      <c r="R28" s="52">
        <v>0.75</v>
      </c>
    </row>
    <row r="29" spans="1:18">
      <c r="A29" s="104" t="s">
        <v>139</v>
      </c>
      <c r="B29" s="104" t="s">
        <v>6</v>
      </c>
      <c r="C29" s="104" t="s">
        <v>7</v>
      </c>
      <c r="D29" s="104" t="s">
        <v>8</v>
      </c>
      <c r="E29" s="104" t="s">
        <v>136</v>
      </c>
      <c r="F29" s="104" t="s">
        <v>201</v>
      </c>
    </row>
    <row r="30" spans="1:18">
      <c r="A30" t="s">
        <v>4</v>
      </c>
      <c r="B30" s="52">
        <v>0.75</v>
      </c>
      <c r="C30" s="52">
        <v>0.75</v>
      </c>
      <c r="D30" s="52">
        <v>0.75</v>
      </c>
      <c r="E30" s="52">
        <v>0</v>
      </c>
      <c r="F30" s="52">
        <v>0.5625</v>
      </c>
    </row>
    <row r="31" spans="1:18">
      <c r="A31" t="s">
        <v>140</v>
      </c>
      <c r="B31" s="52">
        <v>0.66669999999999996</v>
      </c>
      <c r="C31" s="52">
        <v>0.66669999999999996</v>
      </c>
      <c r="D31" s="52">
        <v>0.33329999999999999</v>
      </c>
      <c r="E31" s="52">
        <v>0.5</v>
      </c>
      <c r="F31" s="52">
        <v>0.54169999999999996</v>
      </c>
    </row>
    <row r="32" spans="1:18">
      <c r="A32" t="s">
        <v>141</v>
      </c>
      <c r="B32" s="52">
        <v>1</v>
      </c>
      <c r="C32" s="52">
        <v>0.75</v>
      </c>
      <c r="D32" s="52">
        <v>1</v>
      </c>
      <c r="E32" s="52">
        <v>0.75</v>
      </c>
      <c r="F32" s="52">
        <v>0.875</v>
      </c>
    </row>
    <row r="33" spans="1:17">
      <c r="A33" t="s">
        <v>190</v>
      </c>
      <c r="B33" s="52">
        <v>0.8</v>
      </c>
      <c r="C33" s="52">
        <v>0.75</v>
      </c>
      <c r="D33" s="52">
        <v>0.66669999999999996</v>
      </c>
      <c r="E33" s="52">
        <v>1</v>
      </c>
      <c r="F33" s="52">
        <v>0.80420000000000003</v>
      </c>
    </row>
    <row r="34" spans="1:17">
      <c r="A34" s="103" t="s">
        <v>202</v>
      </c>
      <c r="B34" s="105">
        <v>0.80420000000000003</v>
      </c>
      <c r="C34" s="105">
        <v>0.72919999999999996</v>
      </c>
      <c r="D34" s="105">
        <v>0.6875</v>
      </c>
      <c r="E34" s="105">
        <v>0.5625</v>
      </c>
      <c r="F34" s="105">
        <v>0.69579999999999997</v>
      </c>
    </row>
    <row r="36" spans="1:17" ht="21.95" customHeight="1">
      <c r="A36" s="176" t="s">
        <v>333</v>
      </c>
      <c r="B36" s="176"/>
      <c r="C36" s="176"/>
      <c r="D36" s="176"/>
      <c r="E36" s="176"/>
    </row>
    <row r="37" spans="1:17">
      <c r="A37" s="106" t="s">
        <v>334</v>
      </c>
      <c r="B37" s="106" t="s">
        <v>335</v>
      </c>
      <c r="C37" s="106" t="s">
        <v>336</v>
      </c>
      <c r="D37" s="106" t="s">
        <v>207</v>
      </c>
      <c r="E37" s="106" t="s">
        <v>337</v>
      </c>
    </row>
    <row r="38" spans="1:17">
      <c r="A38" t="s">
        <v>209</v>
      </c>
      <c r="B38" s="69">
        <v>0.56299999999999994</v>
      </c>
      <c r="C38" s="69">
        <v>0.54200000000000004</v>
      </c>
      <c r="D38" s="69">
        <v>-2.1000000000000001E-2</v>
      </c>
      <c r="E38" t="s">
        <v>338</v>
      </c>
    </row>
    <row r="39" spans="1:17">
      <c r="A39" t="s">
        <v>210</v>
      </c>
      <c r="B39" s="69">
        <v>0.54200000000000004</v>
      </c>
      <c r="C39" s="69">
        <v>0.875</v>
      </c>
      <c r="D39" s="69">
        <v>0.33300000000000002</v>
      </c>
      <c r="E39" t="s">
        <v>339</v>
      </c>
    </row>
    <row r="40" spans="1:17">
      <c r="A40" t="s">
        <v>211</v>
      </c>
      <c r="B40" s="69">
        <v>0.875</v>
      </c>
      <c r="C40" s="69">
        <v>0.8</v>
      </c>
      <c r="D40" s="69">
        <v>-7.4999999999999997E-2</v>
      </c>
      <c r="E40" t="s">
        <v>340</v>
      </c>
    </row>
    <row r="42" spans="1:17" ht="21.95" customHeight="1">
      <c r="A42" s="177" t="s">
        <v>341</v>
      </c>
      <c r="B42" s="177"/>
      <c r="C42" s="177"/>
      <c r="D42" s="177"/>
      <c r="E42" s="177"/>
    </row>
    <row r="43" spans="1:17">
      <c r="A43" s="107" t="s">
        <v>148</v>
      </c>
      <c r="B43" s="107" t="s">
        <v>149</v>
      </c>
      <c r="C43" s="107" t="s">
        <v>213</v>
      </c>
      <c r="D43" s="107" t="s">
        <v>208</v>
      </c>
      <c r="E43" s="107" t="s">
        <v>215</v>
      </c>
    </row>
    <row r="44" spans="1:17">
      <c r="A44" t="s">
        <v>217</v>
      </c>
      <c r="B44" t="s">
        <v>342</v>
      </c>
      <c r="C44" t="s">
        <v>218</v>
      </c>
      <c r="D44" t="s">
        <v>343</v>
      </c>
      <c r="E44" t="s">
        <v>344</v>
      </c>
      <c r="I44" s="68" t="s">
        <v>300</v>
      </c>
      <c r="J44" s="68" t="s">
        <v>11</v>
      </c>
      <c r="K44" s="68" t="s">
        <v>22</v>
      </c>
      <c r="L44" s="68" t="s">
        <v>12</v>
      </c>
      <c r="M44" s="68" t="s">
        <v>345</v>
      </c>
      <c r="P44" s="68" t="s">
        <v>236</v>
      </c>
      <c r="Q44" s="68" t="s">
        <v>54</v>
      </c>
    </row>
    <row r="45" spans="1:17">
      <c r="A45" t="s">
        <v>346</v>
      </c>
      <c r="B45" t="s">
        <v>347</v>
      </c>
      <c r="C45" t="s">
        <v>218</v>
      </c>
      <c r="D45" t="s">
        <v>348</v>
      </c>
      <c r="E45" t="s">
        <v>349</v>
      </c>
      <c r="I45" t="s">
        <v>6</v>
      </c>
      <c r="J45">
        <v>15</v>
      </c>
      <c r="K45">
        <v>1</v>
      </c>
      <c r="L45">
        <v>3</v>
      </c>
      <c r="M45" s="120">
        <f>J45/(SUM(J45:L45))</f>
        <v>0.78947368421052633</v>
      </c>
      <c r="N45">
        <f>SUM(J45:L45)</f>
        <v>19</v>
      </c>
      <c r="P45" t="s">
        <v>167</v>
      </c>
      <c r="Q45">
        <v>7</v>
      </c>
    </row>
    <row r="46" spans="1:17">
      <c r="A46" t="s">
        <v>350</v>
      </c>
      <c r="B46" t="s">
        <v>351</v>
      </c>
      <c r="C46" t="s">
        <v>219</v>
      </c>
      <c r="D46" t="s">
        <v>352</v>
      </c>
      <c r="E46" t="s">
        <v>353</v>
      </c>
      <c r="I46" t="s">
        <v>7</v>
      </c>
      <c r="J46">
        <v>13</v>
      </c>
      <c r="K46">
        <v>3</v>
      </c>
      <c r="L46">
        <v>2</v>
      </c>
      <c r="M46" s="120">
        <f t="shared" ref="M46:M48" si="0">J46/(SUM(J46:L46))</f>
        <v>0.72222222222222221</v>
      </c>
      <c r="N46">
        <f t="shared" ref="N46:N48" si="1">SUM(J46:L46)</f>
        <v>18</v>
      </c>
      <c r="P46" t="s">
        <v>241</v>
      </c>
      <c r="Q46">
        <v>4</v>
      </c>
    </row>
    <row r="47" spans="1:17">
      <c r="A47" t="s">
        <v>224</v>
      </c>
      <c r="B47" t="s">
        <v>354</v>
      </c>
      <c r="C47" t="s">
        <v>219</v>
      </c>
      <c r="D47" t="s">
        <v>162</v>
      </c>
      <c r="E47" t="s">
        <v>344</v>
      </c>
      <c r="I47" t="s">
        <v>8</v>
      </c>
      <c r="J47">
        <v>13</v>
      </c>
      <c r="K47">
        <v>4</v>
      </c>
      <c r="L47">
        <v>2</v>
      </c>
      <c r="M47" s="120">
        <f t="shared" si="0"/>
        <v>0.68421052631578949</v>
      </c>
      <c r="N47">
        <f t="shared" si="1"/>
        <v>19</v>
      </c>
      <c r="P47" t="s">
        <v>355</v>
      </c>
      <c r="Q47">
        <v>2</v>
      </c>
    </row>
    <row r="48" spans="1:17">
      <c r="A48" t="s">
        <v>356</v>
      </c>
      <c r="B48" t="s">
        <v>357</v>
      </c>
      <c r="C48" t="s">
        <v>232</v>
      </c>
      <c r="D48" t="s">
        <v>165</v>
      </c>
      <c r="E48" t="s">
        <v>353</v>
      </c>
      <c r="I48" t="s">
        <v>136</v>
      </c>
      <c r="J48">
        <v>11</v>
      </c>
      <c r="K48">
        <v>5</v>
      </c>
      <c r="L48">
        <v>4</v>
      </c>
      <c r="M48" s="120">
        <f t="shared" si="0"/>
        <v>0.55000000000000004</v>
      </c>
      <c r="N48">
        <f t="shared" si="1"/>
        <v>20</v>
      </c>
    </row>
    <row r="50" spans="1:8" ht="21.95" customHeight="1">
      <c r="A50" s="178" t="s">
        <v>358</v>
      </c>
      <c r="B50" s="178"/>
      <c r="C50" s="178"/>
      <c r="D50" s="178"/>
    </row>
    <row r="51" spans="1:8">
      <c r="A51" s="108" t="s">
        <v>236</v>
      </c>
      <c r="B51" s="108" t="s">
        <v>54</v>
      </c>
      <c r="C51" s="108" t="s">
        <v>359</v>
      </c>
      <c r="D51" s="108" t="s">
        <v>239</v>
      </c>
    </row>
    <row r="52" spans="1:8">
      <c r="A52" t="s">
        <v>167</v>
      </c>
      <c r="B52">
        <v>7</v>
      </c>
      <c r="C52" s="69">
        <v>0.53800000000000003</v>
      </c>
      <c r="D52" t="s">
        <v>349</v>
      </c>
    </row>
    <row r="53" spans="1:8">
      <c r="A53" t="s">
        <v>241</v>
      </c>
      <c r="B53">
        <v>4</v>
      </c>
      <c r="C53" s="69">
        <v>0.308</v>
      </c>
      <c r="D53" t="s">
        <v>360</v>
      </c>
    </row>
    <row r="54" spans="1:8">
      <c r="A54" t="s">
        <v>355</v>
      </c>
      <c r="B54">
        <v>2</v>
      </c>
      <c r="C54" s="69">
        <v>0.154</v>
      </c>
      <c r="D54" t="s">
        <v>353</v>
      </c>
    </row>
    <row r="56" spans="1:8" ht="21.95" customHeight="1">
      <c r="A56" s="143" t="s">
        <v>361</v>
      </c>
      <c r="B56" s="143"/>
      <c r="C56" s="143"/>
      <c r="D56" s="143"/>
      <c r="E56" s="143"/>
      <c r="F56" s="143"/>
      <c r="G56" s="68" t="s">
        <v>362</v>
      </c>
    </row>
    <row r="57" spans="1:8">
      <c r="A57" s="110" t="s">
        <v>139</v>
      </c>
      <c r="B57" s="110" t="s">
        <v>6</v>
      </c>
      <c r="C57" s="110" t="s">
        <v>7</v>
      </c>
      <c r="D57" s="110" t="s">
        <v>8</v>
      </c>
      <c r="E57" s="110" t="s">
        <v>136</v>
      </c>
      <c r="F57" s="110" t="s">
        <v>201</v>
      </c>
      <c r="G57" s="109" t="s">
        <v>363</v>
      </c>
      <c r="H57" s="110" t="s">
        <v>364</v>
      </c>
    </row>
    <row r="58" spans="1:8">
      <c r="A58" s="110" t="s">
        <v>4</v>
      </c>
      <c r="B58" s="117">
        <f t="shared" ref="B58:E61" si="2">B30</f>
        <v>0.75</v>
      </c>
      <c r="C58" s="117">
        <f t="shared" si="2"/>
        <v>0.75</v>
      </c>
      <c r="D58" s="117">
        <f t="shared" si="2"/>
        <v>0.75</v>
      </c>
      <c r="E58" s="117">
        <f t="shared" si="2"/>
        <v>0</v>
      </c>
      <c r="F58" s="118">
        <f>AVERAGE(B58:E58)</f>
        <v>0.5625</v>
      </c>
      <c r="G58" s="111" t="s">
        <v>365</v>
      </c>
      <c r="H58" s="114" t="s">
        <v>179</v>
      </c>
    </row>
    <row r="59" spans="1:8">
      <c r="A59" s="110" t="s">
        <v>140</v>
      </c>
      <c r="B59" s="117">
        <f t="shared" si="2"/>
        <v>0.66669999999999996</v>
      </c>
      <c r="C59" s="117">
        <f t="shared" si="2"/>
        <v>0.66669999999999996</v>
      </c>
      <c r="D59" s="117">
        <f t="shared" si="2"/>
        <v>0.33329999999999999</v>
      </c>
      <c r="E59" s="117">
        <f t="shared" si="2"/>
        <v>0.5</v>
      </c>
      <c r="F59" s="118">
        <f>AVERAGE(B59:E59)</f>
        <v>0.54167499999999991</v>
      </c>
      <c r="G59" s="112" t="s">
        <v>366</v>
      </c>
      <c r="H59" s="115" t="s">
        <v>367</v>
      </c>
    </row>
    <row r="60" spans="1:8">
      <c r="A60" s="110" t="s">
        <v>141</v>
      </c>
      <c r="B60" s="117">
        <f t="shared" si="2"/>
        <v>1</v>
      </c>
      <c r="C60" s="117">
        <f t="shared" si="2"/>
        <v>0.75</v>
      </c>
      <c r="D60" s="117">
        <f t="shared" si="2"/>
        <v>1</v>
      </c>
      <c r="E60" s="117">
        <f t="shared" si="2"/>
        <v>0.75</v>
      </c>
      <c r="F60" s="118">
        <f>AVERAGE(B60:E60)</f>
        <v>0.875</v>
      </c>
      <c r="G60" s="113" t="s">
        <v>368</v>
      </c>
      <c r="H60" s="116" t="s">
        <v>369</v>
      </c>
    </row>
    <row r="61" spans="1:8">
      <c r="A61" s="110" t="s">
        <v>190</v>
      </c>
      <c r="B61" s="117">
        <f t="shared" si="2"/>
        <v>0.8</v>
      </c>
      <c r="C61" s="117">
        <f t="shared" si="2"/>
        <v>0.75</v>
      </c>
      <c r="D61" s="117">
        <f t="shared" si="2"/>
        <v>0.66669999999999996</v>
      </c>
      <c r="E61" s="117">
        <f t="shared" si="2"/>
        <v>1</v>
      </c>
      <c r="F61" s="118">
        <f>AVERAGE(B61:E61)</f>
        <v>0.80417499999999997</v>
      </c>
    </row>
    <row r="62" spans="1:8">
      <c r="A62" s="110" t="s">
        <v>370</v>
      </c>
      <c r="B62" s="119">
        <f>AVERAGE(B58:B61)</f>
        <v>0.80417500000000008</v>
      </c>
      <c r="C62" s="119">
        <f>AVERAGE(C58:C61)</f>
        <v>0.72917500000000002</v>
      </c>
      <c r="D62" s="119">
        <f>AVERAGE(D58:D61)</f>
        <v>0.6875</v>
      </c>
      <c r="E62" s="119">
        <f>AVERAGE(E58:E61)</f>
        <v>0.5625</v>
      </c>
      <c r="F62" s="118">
        <f>AVERAGE(B62:E62)</f>
        <v>0.6958375</v>
      </c>
    </row>
  </sheetData>
  <mergeCells count="10">
    <mergeCell ref="A36:E36"/>
    <mergeCell ref="A42:E42"/>
    <mergeCell ref="A50:D50"/>
    <mergeCell ref="A56:F56"/>
    <mergeCell ref="A1:M1"/>
    <mergeCell ref="A2:M2"/>
    <mergeCell ref="A4:G4"/>
    <mergeCell ref="A12:G12"/>
    <mergeCell ref="A20:G20"/>
    <mergeCell ref="A28:F28"/>
  </mergeCells>
  <conditionalFormatting sqref="B58:F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0" scale="0" orientation="landscape" horizontalDpi="0" verticalDpi="0" copie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77727-75cd-431d-9367-be402ba127d0">
      <Terms xmlns="http://schemas.microsoft.com/office/infopath/2007/PartnerControls"/>
    </lcf76f155ced4ddcb4097134ff3c332f>
    <Status xmlns="b1377727-75cd-431d-9367-be402ba127d0" xsi:nil="true"/>
    <TaxCatchAll xmlns="62dced23-64ed-476c-a6fb-1dca3656be2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C5E11F30673A47B15FC4F0BE709234" ma:contentTypeVersion="20" ma:contentTypeDescription="Create a new document." ma:contentTypeScope="" ma:versionID="1f50f3cb75c4cc026c55a8faa8f3d84f">
  <xsd:schema xmlns:xsd="http://www.w3.org/2001/XMLSchema" xmlns:xs="http://www.w3.org/2001/XMLSchema" xmlns:p="http://schemas.microsoft.com/office/2006/metadata/properties" xmlns:ns2="b1377727-75cd-431d-9367-be402ba127d0" xmlns:ns3="62dced23-64ed-476c-a6fb-1dca3656be27" targetNamespace="http://schemas.microsoft.com/office/2006/metadata/properties" ma:root="true" ma:fieldsID="bed6d45ce1ee6beabbbf2ee11e98995f" ns2:_="" ns3:_="">
    <xsd:import namespace="b1377727-75cd-431d-9367-be402ba127d0"/>
    <xsd:import namespace="62dced23-64ed-476c-a6fb-1dca3656be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77727-75cd-431d-9367-be402ba127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c9ac5c9-3891-4418-8e3e-3c86a1f99d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3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ced23-64ed-476c-a6fb-1dca3656be2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8259cd5-8f97-4d6c-b9b6-573076a2f789}" ma:internalName="TaxCatchAll" ma:showField="CatchAllData" ma:web="62dced23-64ed-476c-a6fb-1dca3656be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9A5C70-947A-477A-9BB0-84B1F4B29365}"/>
</file>

<file path=customXml/itemProps2.xml><?xml version="1.0" encoding="utf-8"?>
<ds:datastoreItem xmlns:ds="http://schemas.openxmlformats.org/officeDocument/2006/customXml" ds:itemID="{9D3C2C99-53F5-4C3E-80EA-4AB147671438}"/>
</file>

<file path=customXml/itemProps3.xml><?xml version="1.0" encoding="utf-8"?>
<ds:datastoreItem xmlns:ds="http://schemas.openxmlformats.org/officeDocument/2006/customXml" ds:itemID="{037B4F11-5AC4-4E1E-B701-48EC62FD45C3}"/>
</file>

<file path=docMetadata/LabelInfo.xml><?xml version="1.0" encoding="utf-8"?>
<clbl:labelList xmlns:clbl="http://schemas.microsoft.com/office/2020/mipLabelMetadata">
  <clbl:label id="{37874100-6000-43b6-a204-2d77792600b9}" enabled="1" method="Standard" siteId="{f38a5ecd-2813-4862-b11b-ac1d563c80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Abbiramavali A/p Segaran</cp:lastModifiedBy>
  <cp:revision/>
  <dcterms:created xsi:type="dcterms:W3CDTF">2026-04-03T03:19:10Z</dcterms:created>
  <dcterms:modified xsi:type="dcterms:W3CDTF">2026-04-24T13:23:17Z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0x01010024C5E11F30673A47B15FC4F0BE709234</vt:lpwstr>
  </property>
  <property fmtid="{D5CDD505-2E9C-101B-9397-08002B2CF9AE}" pid="3" name="MediaServiceImageTags">
    <vt:lpwstr/>
  </property>
</Properties>
</file>